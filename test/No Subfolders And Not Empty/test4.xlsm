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ЭтаКнига" defaultThemeVersion="124226"/>
  <workbookProtection lockStructure="1"/>
  <bookViews>
    <workbookView xWindow="240" yWindow="45" windowWidth="19320" windowHeight="7995"/>
  </bookViews>
  <sheets>
    <sheet name="График отпусков 2016 год" sheetId="3" r:id="rId1"/>
    <sheet name="Праздники" sheetId="4" r:id="rId2"/>
  </sheets>
  <definedNames>
    <definedName name="_xlnm._FilterDatabase" localSheetId="0" hidden="1">'График отпусков 2016 год'!$A$8:$G$14</definedName>
  </definedNames>
  <calcPr calcId="145621" refMode="R1C1" iterateDelta="1E-4"/>
</workbook>
</file>

<file path=xl/calcChain.xml><?xml version="1.0" encoding="utf-8"?>
<calcChain xmlns="http://schemas.openxmlformats.org/spreadsheetml/2006/main">
  <c r="AD11" i="3" l="1"/>
  <c r="AC11" i="3"/>
  <c r="AB11" i="3"/>
  <c r="AA11" i="3"/>
  <c r="AD10" i="3"/>
  <c r="AC10" i="3"/>
  <c r="AB10" i="3"/>
  <c r="AA10" i="3"/>
  <c r="S9" i="3"/>
  <c r="K17" i="3" l="1"/>
  <c r="AB16" i="3" l="1"/>
  <c r="AB15" i="3"/>
  <c r="AA14" i="3"/>
  <c r="AB13" i="3"/>
  <c r="AA12" i="3"/>
  <c r="AA16" i="3"/>
  <c r="AA15" i="3"/>
  <c r="AB12" i="3"/>
  <c r="AB14" i="3"/>
  <c r="AC17" i="3"/>
  <c r="AB17" i="3"/>
  <c r="AD16" i="3"/>
  <c r="AC16" i="3"/>
  <c r="AD15" i="3"/>
  <c r="AC15" i="3"/>
  <c r="AD14" i="3"/>
  <c r="AC14" i="3"/>
  <c r="AD13" i="3"/>
  <c r="AC13" i="3"/>
  <c r="AA13" i="3"/>
  <c r="AD12" i="3"/>
  <c r="AC12" i="3"/>
  <c r="O17" i="3"/>
  <c r="AD9" i="3" l="1"/>
  <c r="AC9" i="3"/>
  <c r="AB9" i="3"/>
  <c r="AA9" i="3"/>
  <c r="AN17" i="3" l="1"/>
  <c r="C17" i="3"/>
  <c r="D17" i="3" s="1"/>
  <c r="S17" i="3"/>
  <c r="AD17" i="3" s="1"/>
  <c r="U17" i="3"/>
  <c r="V17" i="3" s="1"/>
  <c r="G17" i="3"/>
  <c r="AA17" i="3" s="1"/>
  <c r="A20" i="3"/>
  <c r="P17" i="3" l="1"/>
  <c r="H17" i="3"/>
  <c r="L17" i="3"/>
  <c r="C10" i="3"/>
  <c r="C11" i="3"/>
  <c r="C12" i="3"/>
  <c r="C13" i="3"/>
  <c r="C14" i="3"/>
  <c r="C15" i="3"/>
  <c r="C16" i="3"/>
  <c r="C9" i="3"/>
  <c r="P16" i="3" l="1"/>
  <c r="P14" i="3"/>
  <c r="D9" i="3"/>
  <c r="H9" i="3" s="1"/>
  <c r="L9" i="3" s="1"/>
  <c r="P15" i="3"/>
  <c r="P13" i="3"/>
  <c r="P11" i="3"/>
  <c r="U16" i="3"/>
  <c r="V16" i="3" s="1"/>
  <c r="U15" i="3"/>
  <c r="V15" i="3" s="1"/>
  <c r="U14" i="3"/>
  <c r="V14" i="3" s="1"/>
  <c r="U13" i="3"/>
  <c r="V13" i="3" s="1"/>
  <c r="U12" i="3"/>
  <c r="V12" i="3" s="1"/>
  <c r="U11" i="3"/>
  <c r="V11" i="3" s="1"/>
  <c r="U10" i="3"/>
  <c r="V10" i="3" s="1"/>
  <c r="U9" i="3"/>
  <c r="V9" i="3" s="1"/>
  <c r="P9" i="3" l="1"/>
  <c r="D16" i="3"/>
  <c r="H16" i="3" s="1"/>
  <c r="L16" i="3" s="1"/>
  <c r="D15" i="3"/>
  <c r="H15" i="3" s="1"/>
  <c r="L15" i="3" s="1"/>
  <c r="D13" i="3"/>
  <c r="H13" i="3" s="1"/>
  <c r="L13" i="3" s="1"/>
  <c r="D11" i="3"/>
  <c r="H11" i="3" s="1"/>
  <c r="L11" i="3" s="1"/>
  <c r="D10" i="3"/>
  <c r="H10" i="3" l="1"/>
  <c r="L10" i="3" s="1"/>
  <c r="P10" i="3" s="1"/>
  <c r="D14" i="3"/>
  <c r="H14" i="3" s="1"/>
  <c r="L14" i="3" s="1"/>
  <c r="D12" i="3"/>
  <c r="H12" i="3" l="1"/>
  <c r="L12" i="3" s="1"/>
  <c r="P12" i="3" s="1"/>
</calcChain>
</file>

<file path=xl/sharedStrings.xml><?xml version="1.0" encoding="utf-8"?>
<sst xmlns="http://schemas.openxmlformats.org/spreadsheetml/2006/main" count="48" uniqueCount="48">
  <si>
    <t>Сотрудник</t>
  </si>
  <si>
    <t>Начало года</t>
  </si>
  <si>
    <t xml:space="preserve">1-я часть </t>
  </si>
  <si>
    <t xml:space="preserve">2-я часть </t>
  </si>
  <si>
    <t xml:space="preserve">3-я часть </t>
  </si>
  <si>
    <t xml:space="preserve">4-я часть </t>
  </si>
  <si>
    <t>Должность</t>
  </si>
  <si>
    <t>Всего дней</t>
  </si>
  <si>
    <t>Положе- но за год</t>
  </si>
  <si>
    <t>Израсхо- довано</t>
  </si>
  <si>
    <t>Оста- лось</t>
  </si>
  <si>
    <t>Нераб. дни 2015</t>
  </si>
  <si>
    <t>Столбец1</t>
  </si>
  <si>
    <t>Столбец2</t>
  </si>
  <si>
    <t>Дата начала3</t>
  </si>
  <si>
    <t>Столбец6</t>
  </si>
  <si>
    <t>Столбец10</t>
  </si>
  <si>
    <t>Дата начала1</t>
  </si>
  <si>
    <t>Продолжи- тельность1, дней</t>
  </si>
  <si>
    <t>Дата начала2</t>
  </si>
  <si>
    <t>Продолжи- тельность2, дней</t>
  </si>
  <si>
    <t>Продолжи- тельность3, дней</t>
  </si>
  <si>
    <t>Дата начала4</t>
  </si>
  <si>
    <t>Продолжи- тельность4, дней</t>
  </si>
  <si>
    <t xml:space="preserve"> -  дата начала года</t>
  </si>
  <si>
    <t>Сотрудник 1</t>
  </si>
  <si>
    <t>Сотрудник 2</t>
  </si>
  <si>
    <t>Сотрудник 3</t>
  </si>
  <si>
    <t>Сотрудник 4</t>
  </si>
  <si>
    <t>Сотрудник 5</t>
  </si>
  <si>
    <t>Сотрудник 6</t>
  </si>
  <si>
    <t>Сотрудник 7</t>
  </si>
  <si>
    <t>Сотрудник 8</t>
  </si>
  <si>
    <t>Дата конца1</t>
  </si>
  <si>
    <t>Дата конца2</t>
  </si>
  <si>
    <t>Дата конца3</t>
  </si>
  <si>
    <t>Дата конца4</t>
  </si>
  <si>
    <t>Часть1</t>
  </si>
  <si>
    <t>Часть2</t>
  </si>
  <si>
    <t>Часть3</t>
  </si>
  <si>
    <t>Часть4</t>
  </si>
  <si>
    <t>Продолж. отпуска с учетом праздников 
(не удалять ячейки, используются в графике!)</t>
  </si>
  <si>
    <r>
      <t xml:space="preserve">Для добавления фамилий вставьте строку (строки) </t>
    </r>
    <r>
      <rPr>
        <b/>
        <i/>
        <sz val="11"/>
        <color rgb="FF0070C0"/>
        <rFont val="Arial"/>
        <family val="2"/>
        <charset val="204"/>
      </rPr>
      <t xml:space="preserve">МЕЖДУ </t>
    </r>
    <r>
      <rPr>
        <i/>
        <sz val="11"/>
        <color rgb="FF0070C0"/>
        <rFont val="Arial"/>
        <family val="2"/>
        <charset val="204"/>
      </rPr>
      <t xml:space="preserve">существующими строками таблицы. </t>
    </r>
    <r>
      <rPr>
        <b/>
        <i/>
        <sz val="11"/>
        <color rgb="FF0070C0"/>
        <rFont val="Arial"/>
        <family val="2"/>
        <charset val="204"/>
      </rPr>
      <t>Фамилии</t>
    </r>
    <r>
      <rPr>
        <i/>
        <sz val="11"/>
        <color rgb="FF0070C0"/>
        <rFont val="Arial"/>
        <family val="2"/>
        <charset val="204"/>
      </rPr>
      <t xml:space="preserve"> желательно вносить сразу, не оставляя пустых строк</t>
    </r>
  </si>
  <si>
    <t>Примечание. Если на графике отображаются не все сотрудники, потяните за нижнюю границу графика!</t>
  </si>
  <si>
    <t>Нераб. дни 2016</t>
  </si>
  <si>
    <r>
      <t xml:space="preserve">Таблица и график отпусков </t>
    </r>
    <r>
      <rPr>
        <b/>
        <u/>
        <sz val="11"/>
        <color rgb="FFC00000"/>
        <rFont val="Arial"/>
        <family val="2"/>
        <charset val="204"/>
      </rPr>
      <t>с учетом официальных праздничных дней в 2016 году</t>
    </r>
    <r>
      <rPr>
        <b/>
        <sz val="11"/>
        <color rgb="FF0070C0"/>
        <rFont val="Arial"/>
        <family val="2"/>
        <charset val="204"/>
      </rPr>
      <t xml:space="preserve">. При изменении данных в таблице меняется график. </t>
    </r>
    <r>
      <rPr>
        <b/>
        <sz val="11"/>
        <color rgb="FFC00000"/>
        <rFont val="Arial"/>
        <family val="2"/>
        <charset val="204"/>
      </rPr>
      <t>При открытии файла включайте макросы!</t>
    </r>
  </si>
  <si>
    <r>
      <t xml:space="preserve">Если введенная Вами дата по какой-то причине некорректна (например, Вы хотели ввести 01.03.2016, а ввели 01.03.2015), текст в ячейке окрасится </t>
    </r>
    <r>
      <rPr>
        <i/>
        <sz val="11"/>
        <color rgb="FFC00000"/>
        <rFont val="Arial"/>
        <family val="2"/>
        <charset val="204"/>
      </rPr>
      <t>бордовым</t>
    </r>
  </si>
  <si>
    <t>Демо-версия!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</si>
</sst>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 ;[Red]\-0\ "/>
  </numFmts>
  <fonts count="19" x14ac:knownFonts="1">
    <font>
      <sz val="10"/>
      <name val="Arial"/>
      <family val="2"/>
      <charset val="204"/>
    </font>
    <font>
      <sz val="10"/>
      <name val="Arial"/>
      <family val="2"/>
      <charset val="204"/>
    </font>
    <font>
      <b/>
      <sz val="11"/>
      <name val="Arial"/>
      <family val="2"/>
      <charset val="204"/>
    </font>
    <font>
      <b/>
      <sz val="10"/>
      <name val="Arial"/>
      <family val="2"/>
      <charset val="204"/>
    </font>
    <font>
      <sz val="9"/>
      <name val="Arial"/>
      <family val="2"/>
      <charset val="204"/>
    </font>
    <font>
      <b/>
      <sz val="11"/>
      <color rgb="FF0070C0"/>
      <name val="Arial"/>
      <family val="2"/>
      <charset val="204"/>
    </font>
    <font>
      <sz val="11"/>
      <color rgb="FF0070C0"/>
      <name val="Arial"/>
      <family val="2"/>
      <charset val="204"/>
    </font>
    <font>
      <i/>
      <sz val="11"/>
      <color rgb="FF0070C0"/>
      <name val="Arial"/>
      <family val="2"/>
      <charset val="204"/>
    </font>
    <font>
      <b/>
      <i/>
      <sz val="11"/>
      <color rgb="FF0070C0"/>
      <name val="Arial"/>
      <family val="2"/>
      <charset val="204"/>
    </font>
    <font>
      <b/>
      <sz val="10"/>
      <color rgb="FF0070C0"/>
      <name val="Arial"/>
      <family val="2"/>
      <charset val="204"/>
    </font>
    <font>
      <b/>
      <u/>
      <sz val="11"/>
      <color rgb="FFC00000"/>
      <name val="Arial"/>
      <family val="2"/>
      <charset val="204"/>
    </font>
    <font>
      <b/>
      <sz val="10"/>
      <color theme="3" tint="0.39997558519241921"/>
      <name val="Arial"/>
      <family val="2"/>
      <charset val="204"/>
    </font>
    <font>
      <sz val="10"/>
      <color theme="3" tint="0.39997558519241921"/>
      <name val="Arial"/>
      <family val="2"/>
      <charset val="204"/>
    </font>
    <font>
      <i/>
      <sz val="11"/>
      <color rgb="FFC00000"/>
      <name val="Arial"/>
      <family val="2"/>
      <charset val="204"/>
    </font>
    <font>
      <b/>
      <sz val="8"/>
      <color theme="0" tint="-0.34998626667073579"/>
      <name val="Arial"/>
      <family val="2"/>
      <charset val="204"/>
    </font>
    <font>
      <sz val="8"/>
      <color theme="0" tint="-0.34998626667073579"/>
      <name val="Arial"/>
      <family val="2"/>
      <charset val="204"/>
    </font>
    <font>
      <b/>
      <i/>
      <sz val="10"/>
      <color rgb="FFFF0000"/>
      <name val="Arial"/>
      <family val="2"/>
      <charset val="204"/>
    </font>
    <font>
      <b/>
      <sz val="11"/>
      <color rgb="FFC00000"/>
      <name val="Arial"/>
      <family val="2"/>
      <charset val="204"/>
    </font>
    <font>
      <b/>
      <i/>
      <sz val="16"/>
      <color rgb="FFFF0000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</borders>
  <cellStyleXfs count="1">
    <xf numFmtId="0" fontId="0" fillId="0" borderId="0"/>
  </cellStyleXfs>
  <cellXfs count="77">
    <xf numFmtId="0" fontId="0" fillId="0" borderId="0" xfId="0"/>
    <xf numFmtId="0" fontId="2" fillId="0" borderId="0" xfId="0" applyFont="1"/>
    <xf numFmtId="0" fontId="1" fillId="0" borderId="1" xfId="0" applyFont="1" applyBorder="1"/>
    <xf numFmtId="0" fontId="3" fillId="0" borderId="0" xfId="0" applyFont="1"/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14" fontId="4" fillId="0" borderId="1" xfId="0" applyNumberFormat="1" applyFont="1" applyBorder="1"/>
    <xf numFmtId="0" fontId="5" fillId="0" borderId="0" xfId="0" applyFont="1"/>
    <xf numFmtId="0" fontId="6" fillId="0" borderId="0" xfId="0" applyFont="1"/>
    <xf numFmtId="0" fontId="7" fillId="0" borderId="0" xfId="0" applyFont="1"/>
    <xf numFmtId="0" fontId="0" fillId="0" borderId="0" xfId="0" applyAlignment="1">
      <alignment horizontal="left"/>
    </xf>
    <xf numFmtId="0" fontId="5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 wrapText="1"/>
    </xf>
    <xf numFmtId="14" fontId="0" fillId="0" borderId="0" xfId="0" applyNumberFormat="1"/>
    <xf numFmtId="14" fontId="0" fillId="0" borderId="0" xfId="0" applyNumberFormat="1" applyFill="1"/>
    <xf numFmtId="0" fontId="0" fillId="0" borderId="0" xfId="0" applyBorder="1" applyAlignment="1">
      <alignment horizontal="left" vertical="center" wrapText="1"/>
    </xf>
    <xf numFmtId="14" fontId="4" fillId="0" borderId="0" xfId="0" applyNumberFormat="1" applyFont="1" applyBorder="1"/>
    <xf numFmtId="0" fontId="1" fillId="0" borderId="0" xfId="0" applyFont="1" applyBorder="1"/>
    <xf numFmtId="16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0" fontId="0" fillId="0" borderId="0" xfId="0" applyBorder="1"/>
    <xf numFmtId="14" fontId="0" fillId="0" borderId="1" xfId="0" applyNumberForma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14" fontId="0" fillId="0" borderId="7" xfId="0" applyNumberFormat="1" applyBorder="1" applyAlignment="1">
      <alignment horizontal="center"/>
    </xf>
    <xf numFmtId="0" fontId="11" fillId="0" borderId="0" xfId="0" applyFont="1" applyAlignment="1">
      <alignment vertical="center"/>
    </xf>
    <xf numFmtId="14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0" fontId="9" fillId="0" borderId="4" xfId="0" applyFont="1" applyFill="1" applyBorder="1" applyAlignment="1" applyProtection="1">
      <alignment horizontal="left" vertical="center"/>
      <protection locked="0"/>
    </xf>
    <xf numFmtId="0" fontId="9" fillId="0" borderId="0" xfId="0" applyFon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vertical="center"/>
      <protection locked="0"/>
    </xf>
    <xf numFmtId="0" fontId="3" fillId="0" borderId="2" xfId="0" applyFont="1" applyBorder="1" applyAlignment="1">
      <alignment horizontal="left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left" vertical="center"/>
    </xf>
    <xf numFmtId="0" fontId="0" fillId="0" borderId="6" xfId="0" applyBorder="1" applyAlignment="1" applyProtection="1">
      <alignment horizontal="left" vertical="center" wrapText="1"/>
      <protection locked="0"/>
    </xf>
    <xf numFmtId="0" fontId="0" fillId="0" borderId="2" xfId="0" applyBorder="1" applyAlignment="1" applyProtection="1">
      <alignment horizontal="left" vertical="center" wrapText="1"/>
      <protection locked="0"/>
    </xf>
    <xf numFmtId="14" fontId="4" fillId="0" borderId="2" xfId="0" applyNumberFormat="1" applyFont="1" applyBorder="1"/>
    <xf numFmtId="0" fontId="1" fillId="0" borderId="2" xfId="0" applyFont="1" applyBorder="1"/>
    <xf numFmtId="14" fontId="0" fillId="0" borderId="2" xfId="0" applyNumberFormat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14" fontId="0" fillId="0" borderId="2" xfId="0" applyNumberForma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0" fillId="3" borderId="6" xfId="0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0" fontId="0" fillId="3" borderId="10" xfId="0" applyFill="1" applyBorder="1" applyAlignment="1" applyProtection="1">
      <alignment horizontal="center"/>
      <protection locked="0"/>
    </xf>
    <xf numFmtId="164" fontId="0" fillId="3" borderId="2" xfId="0" applyNumberFormat="1" applyFill="1" applyBorder="1" applyAlignment="1">
      <alignment horizontal="center"/>
    </xf>
    <xf numFmtId="164" fontId="0" fillId="3" borderId="11" xfId="0" applyNumberFormat="1" applyFill="1" applyBorder="1" applyAlignment="1">
      <alignment horizontal="center"/>
    </xf>
    <xf numFmtId="14" fontId="0" fillId="0" borderId="1" xfId="0" applyNumberFormat="1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14" fontId="0" fillId="0" borderId="1" xfId="0" applyNumberFormat="1" applyFill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0" fillId="0" borderId="2" xfId="0" applyNumberFormat="1" applyBorder="1" applyAlignment="1">
      <alignment horizontal="center"/>
    </xf>
    <xf numFmtId="14" fontId="12" fillId="0" borderId="0" xfId="0" applyNumberFormat="1" applyFont="1" applyAlignment="1">
      <alignment horizontal="center" vertical="center"/>
    </xf>
    <xf numFmtId="0" fontId="0" fillId="0" borderId="1" xfId="0" applyFont="1" applyBorder="1"/>
    <xf numFmtId="0" fontId="0" fillId="0" borderId="2" xfId="0" applyBorder="1" applyAlignment="1">
      <alignment vertical="center"/>
    </xf>
    <xf numFmtId="0" fontId="0" fillId="0" borderId="0" xfId="0" applyAlignment="1">
      <alignment vertical="center"/>
    </xf>
    <xf numFmtId="0" fontId="14" fillId="0" borderId="12" xfId="0" applyFont="1" applyBorder="1" applyAlignment="1">
      <alignment vertical="center" wrapText="1"/>
    </xf>
    <xf numFmtId="0" fontId="15" fillId="0" borderId="12" xfId="0" applyFont="1" applyBorder="1" applyAlignment="1">
      <alignment horizontal="center"/>
    </xf>
    <xf numFmtId="0" fontId="15" fillId="0" borderId="13" xfId="0" applyFont="1" applyBorder="1" applyAlignment="1">
      <alignment horizontal="center"/>
    </xf>
    <xf numFmtId="0" fontId="15" fillId="0" borderId="0" xfId="0" applyFont="1" applyBorder="1" applyAlignment="1">
      <alignment horizontal="center"/>
    </xf>
    <xf numFmtId="0" fontId="16" fillId="0" borderId="0" xfId="0" applyFont="1" applyFill="1" applyBorder="1" applyAlignment="1" applyProtection="1">
      <alignment horizontal="left" vertical="center"/>
      <protection locked="0"/>
    </xf>
    <xf numFmtId="0" fontId="14" fillId="0" borderId="12" xfId="0" applyFont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0" xfId="0" applyFont="1" applyAlignment="1">
      <alignment horizontal="center" vertical="top"/>
    </xf>
  </cellXfs>
  <cellStyles count="1">
    <cellStyle name="Обычный" xfId="0" builtinId="0"/>
  </cellStyles>
  <dxfs count="24">
    <dxf>
      <numFmt numFmtId="164" formatCode="0_ ;[Red]\-0\ "/>
      <fill>
        <patternFill patternType="solid">
          <fgColor indexed="64"/>
          <bgColor theme="0" tint="-0.14999847407452621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0_ ;[Red]\-0\ "/>
      <fill>
        <patternFill patternType="solid">
          <fgColor indexed="64"/>
          <bgColor theme="0" tint="-0.14999847407452621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dd/mm/yyyy"/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9" formatCode="dd/mm/yyyy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9" formatCode="dd/mm/yyyy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9" formatCode="dd/mm/yyyy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9" formatCode="dd/mm/yyyy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left" vertical="center" textRotation="0" wrapText="1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'График отпусков 2016 год'!$D$8</c:f>
              <c:strCache>
                <c:ptCount val="1"/>
                <c:pt idx="0">
                  <c:v>Столбец1</c:v>
                </c:pt>
              </c:strCache>
            </c:strRef>
          </c:tx>
          <c:spPr>
            <a:noFill/>
          </c:spPr>
          <c:invertIfNegative val="0"/>
          <c:cat>
            <c:strRef>
              <c:f>'График отпусков 2016 год'!$A$9:$A$17</c:f>
              <c:strCache>
                <c:ptCount val="8"/>
                <c:pt idx="0">
                  <c:v>Сотрудник 1</c:v>
                </c:pt>
                <c:pt idx="1">
                  <c:v>Сотрудник 2</c:v>
                </c:pt>
                <c:pt idx="2">
                  <c:v>Сотрудник 3</c:v>
                </c:pt>
                <c:pt idx="3">
                  <c:v>Сотрудник 4</c:v>
                </c:pt>
                <c:pt idx="4">
                  <c:v>Сотрудник 5</c:v>
                </c:pt>
                <c:pt idx="5">
                  <c:v>Сотрудник 6</c:v>
                </c:pt>
                <c:pt idx="6">
                  <c:v>Сотрудник 7</c:v>
                </c:pt>
                <c:pt idx="7">
                  <c:v>Сотрудник 8</c:v>
                </c:pt>
              </c:strCache>
            </c:strRef>
          </c:cat>
          <c:val>
            <c:numRef>
              <c:f>'График отпусков 2016 год'!$D$9:$D$17</c:f>
              <c:numCache>
                <c:formatCode>General</c:formatCode>
                <c:ptCount val="8"/>
                <c:pt idx="0">
                  <c:v>2</c:v>
                </c:pt>
                <c:pt idx="1">
                  <c:v>-42369</c:v>
                </c:pt>
                <c:pt idx="2">
                  <c:v>-42369</c:v>
                </c:pt>
                <c:pt idx="3">
                  <c:v>-42369</c:v>
                </c:pt>
                <c:pt idx="4">
                  <c:v>-42369</c:v>
                </c:pt>
                <c:pt idx="5">
                  <c:v>-42369</c:v>
                </c:pt>
                <c:pt idx="6">
                  <c:v>-42369</c:v>
                </c:pt>
                <c:pt idx="7">
                  <c:v>-42369</c:v>
                </c:pt>
              </c:numCache>
            </c:numRef>
          </c:val>
        </c:ser>
        <c:ser>
          <c:idx val="1"/>
          <c:order val="1"/>
          <c:tx>
            <c:strRef>
              <c:f>'График отпусков 2016 год'!$F$8</c:f>
              <c:strCache>
                <c:ptCount val="1"/>
                <c:pt idx="0">
                  <c:v>Продолжи- тельность1, дней</c:v>
                </c:pt>
              </c:strCache>
            </c:strRef>
          </c:tx>
          <c:spPr>
            <a:solidFill>
              <a:srgbClr val="FFFF00"/>
            </a:solidFill>
            <a:ln w="19050">
              <a:solidFill>
                <a:srgbClr val="4F81BD"/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800"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'График отпусков 2016 год'!$A$9:$A$17</c:f>
              <c:strCache>
                <c:ptCount val="8"/>
                <c:pt idx="0">
                  <c:v>Сотрудник 1</c:v>
                </c:pt>
                <c:pt idx="1">
                  <c:v>Сотрудник 2</c:v>
                </c:pt>
                <c:pt idx="2">
                  <c:v>Сотрудник 3</c:v>
                </c:pt>
                <c:pt idx="3">
                  <c:v>Сотрудник 4</c:v>
                </c:pt>
                <c:pt idx="4">
                  <c:v>Сотрудник 5</c:v>
                </c:pt>
                <c:pt idx="5">
                  <c:v>Сотрудник 6</c:v>
                </c:pt>
                <c:pt idx="6">
                  <c:v>Сотрудник 7</c:v>
                </c:pt>
                <c:pt idx="7">
                  <c:v>Сотрудник 8</c:v>
                </c:pt>
              </c:strCache>
            </c:strRef>
          </c:cat>
          <c:val>
            <c:numRef>
              <c:f>'График отпусков 2016 год'!$AA$9:$AA$16</c:f>
              <c:numCache>
                <c:formatCode>General</c:formatCode>
                <c:ptCount val="8"/>
                <c:pt idx="0">
                  <c:v>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tx>
            <c:strRef>
              <c:f>'График отпусков 2016 год'!$H$8</c:f>
              <c:strCache>
                <c:ptCount val="1"/>
                <c:pt idx="0">
                  <c:v>Столбец2</c:v>
                </c:pt>
              </c:strCache>
            </c:strRef>
          </c:tx>
          <c:spPr>
            <a:noFill/>
          </c:spPr>
          <c:invertIfNegative val="0"/>
          <c:cat>
            <c:strRef>
              <c:f>'График отпусков 2016 год'!$A$9:$A$17</c:f>
              <c:strCache>
                <c:ptCount val="8"/>
                <c:pt idx="0">
                  <c:v>Сотрудник 1</c:v>
                </c:pt>
                <c:pt idx="1">
                  <c:v>Сотрудник 2</c:v>
                </c:pt>
                <c:pt idx="2">
                  <c:v>Сотрудник 3</c:v>
                </c:pt>
                <c:pt idx="3">
                  <c:v>Сотрудник 4</c:v>
                </c:pt>
                <c:pt idx="4">
                  <c:v>Сотрудник 5</c:v>
                </c:pt>
                <c:pt idx="5">
                  <c:v>Сотрудник 6</c:v>
                </c:pt>
                <c:pt idx="6">
                  <c:v>Сотрудник 7</c:v>
                </c:pt>
                <c:pt idx="7">
                  <c:v>Сотрудник 8</c:v>
                </c:pt>
              </c:strCache>
            </c:strRef>
          </c:cat>
          <c:val>
            <c:numRef>
              <c:f>'График отпусков 2016 год'!$H$9:$H$17</c:f>
              <c:numCache>
                <c:formatCode>General</c:formatCode>
                <c:ptCount val="8"/>
                <c:pt idx="0">
                  <c:v>31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3"/>
          <c:order val="3"/>
          <c:tx>
            <c:strRef>
              <c:f>'График отпусков 2016 год'!$J$8</c:f>
              <c:strCache>
                <c:ptCount val="1"/>
                <c:pt idx="0">
                  <c:v>Продолжи- тельность2, дней</c:v>
                </c:pt>
              </c:strCache>
            </c:strRef>
          </c:tx>
          <c:spPr>
            <a:solidFill>
              <a:srgbClr val="FF0000"/>
            </a:solidFill>
            <a:ln w="19050">
              <a:solidFill>
                <a:srgbClr val="4F81BD"/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800">
                    <a:solidFill>
                      <a:schemeClr val="bg1"/>
                    </a:solidFill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'График отпусков 2016 год'!$A$9:$A$17</c:f>
              <c:strCache>
                <c:ptCount val="8"/>
                <c:pt idx="0">
                  <c:v>Сотрудник 1</c:v>
                </c:pt>
                <c:pt idx="1">
                  <c:v>Сотрудник 2</c:v>
                </c:pt>
                <c:pt idx="2">
                  <c:v>Сотрудник 3</c:v>
                </c:pt>
                <c:pt idx="3">
                  <c:v>Сотрудник 4</c:v>
                </c:pt>
                <c:pt idx="4">
                  <c:v>Сотрудник 5</c:v>
                </c:pt>
                <c:pt idx="5">
                  <c:v>Сотрудник 6</c:v>
                </c:pt>
                <c:pt idx="6">
                  <c:v>Сотрудник 7</c:v>
                </c:pt>
                <c:pt idx="7">
                  <c:v>Сотрудник 8</c:v>
                </c:pt>
              </c:strCache>
            </c:strRef>
          </c:cat>
          <c:val>
            <c:numRef>
              <c:f>'График отпусков 2016 год'!$AB$9:$AB$16</c:f>
              <c:numCache>
                <c:formatCode>General</c:formatCode>
                <c:ptCount val="8"/>
                <c:pt idx="0">
                  <c:v>11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4"/>
          <c:order val="4"/>
          <c:tx>
            <c:strRef>
              <c:f>'График отпусков 2016 год'!$L$8</c:f>
              <c:strCache>
                <c:ptCount val="1"/>
                <c:pt idx="0">
                  <c:v>Столбец6</c:v>
                </c:pt>
              </c:strCache>
            </c:strRef>
          </c:tx>
          <c:spPr>
            <a:noFill/>
          </c:spPr>
          <c:invertIfNegative val="0"/>
          <c:cat>
            <c:strRef>
              <c:f>'График отпусков 2016 год'!$A$9:$A$17</c:f>
              <c:strCache>
                <c:ptCount val="8"/>
                <c:pt idx="0">
                  <c:v>Сотрудник 1</c:v>
                </c:pt>
                <c:pt idx="1">
                  <c:v>Сотрудник 2</c:v>
                </c:pt>
                <c:pt idx="2">
                  <c:v>Сотрудник 3</c:v>
                </c:pt>
                <c:pt idx="3">
                  <c:v>Сотрудник 4</c:v>
                </c:pt>
                <c:pt idx="4">
                  <c:v>Сотрудник 5</c:v>
                </c:pt>
                <c:pt idx="5">
                  <c:v>Сотрудник 6</c:v>
                </c:pt>
                <c:pt idx="6">
                  <c:v>Сотрудник 7</c:v>
                </c:pt>
                <c:pt idx="7">
                  <c:v>Сотрудник 8</c:v>
                </c:pt>
              </c:strCache>
            </c:strRef>
          </c:cat>
          <c:val>
            <c:numRef>
              <c:f>'График отпусков 2016 год'!$L$9:$L$17</c:f>
              <c:numCache>
                <c:formatCode>General</c:formatCode>
                <c:ptCount val="8"/>
                <c:pt idx="0">
                  <c:v>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5"/>
          <c:order val="5"/>
          <c:tx>
            <c:strRef>
              <c:f>'График отпусков 2016 год'!$N$8</c:f>
              <c:strCache>
                <c:ptCount val="1"/>
                <c:pt idx="0">
                  <c:v>Продолжи- тельность3, дней</c:v>
                </c:pt>
              </c:strCache>
            </c:strRef>
          </c:tx>
          <c:spPr>
            <a:solidFill>
              <a:srgbClr val="00B0F0"/>
            </a:solidFill>
            <a:ln w="19050">
              <a:solidFill>
                <a:srgbClr val="4F81BD"/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800"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'График отпусков 2016 год'!$A$9:$A$17</c:f>
              <c:strCache>
                <c:ptCount val="8"/>
                <c:pt idx="0">
                  <c:v>Сотрудник 1</c:v>
                </c:pt>
                <c:pt idx="1">
                  <c:v>Сотрудник 2</c:v>
                </c:pt>
                <c:pt idx="2">
                  <c:v>Сотрудник 3</c:v>
                </c:pt>
                <c:pt idx="3">
                  <c:v>Сотрудник 4</c:v>
                </c:pt>
                <c:pt idx="4">
                  <c:v>Сотрудник 5</c:v>
                </c:pt>
                <c:pt idx="5">
                  <c:v>Сотрудник 6</c:v>
                </c:pt>
                <c:pt idx="6">
                  <c:v>Сотрудник 7</c:v>
                </c:pt>
                <c:pt idx="7">
                  <c:v>Сотрудник 8</c:v>
                </c:pt>
              </c:strCache>
            </c:strRef>
          </c:cat>
          <c:val>
            <c:numRef>
              <c:f>'График отпусков 2016 год'!$AC$9:$AC$16</c:f>
              <c:numCache>
                <c:formatCode>General</c:formatCode>
                <c:ptCount val="8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6"/>
          <c:order val="6"/>
          <c:tx>
            <c:strRef>
              <c:f>'График отпусков 2016 год'!$P$8</c:f>
              <c:strCache>
                <c:ptCount val="1"/>
                <c:pt idx="0">
                  <c:v>Столбец10</c:v>
                </c:pt>
              </c:strCache>
            </c:strRef>
          </c:tx>
          <c:spPr>
            <a:noFill/>
          </c:spPr>
          <c:invertIfNegative val="0"/>
          <c:cat>
            <c:strRef>
              <c:f>'График отпусков 2016 год'!$A$9:$A$17</c:f>
              <c:strCache>
                <c:ptCount val="8"/>
                <c:pt idx="0">
                  <c:v>Сотрудник 1</c:v>
                </c:pt>
                <c:pt idx="1">
                  <c:v>Сотрудник 2</c:v>
                </c:pt>
                <c:pt idx="2">
                  <c:v>Сотрудник 3</c:v>
                </c:pt>
                <c:pt idx="3">
                  <c:v>Сотрудник 4</c:v>
                </c:pt>
                <c:pt idx="4">
                  <c:v>Сотрудник 5</c:v>
                </c:pt>
                <c:pt idx="5">
                  <c:v>Сотрудник 6</c:v>
                </c:pt>
                <c:pt idx="6">
                  <c:v>Сотрудник 7</c:v>
                </c:pt>
                <c:pt idx="7">
                  <c:v>Сотрудник 8</c:v>
                </c:pt>
              </c:strCache>
            </c:strRef>
          </c:cat>
          <c:val>
            <c:numRef>
              <c:f>'График отпусков 2016 год'!$P$9:$P$17</c:f>
              <c:numCache>
                <c:formatCode>General</c:formatCode>
                <c:ptCount val="8"/>
                <c:pt idx="0">
                  <c:v>183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7"/>
          <c:order val="7"/>
          <c:tx>
            <c:strRef>
              <c:f>'График отпусков 2016 год'!$R$8</c:f>
              <c:strCache>
                <c:ptCount val="1"/>
                <c:pt idx="0">
                  <c:v>Продолжи- тельность4, дней</c:v>
                </c:pt>
              </c:strCache>
            </c:strRef>
          </c:tx>
          <c:spPr>
            <a:solidFill>
              <a:srgbClr val="00B050"/>
            </a:solidFill>
            <a:ln w="19050">
              <a:solidFill>
                <a:srgbClr val="4F81BD"/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800"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'График отпусков 2016 год'!$A$9:$A$17</c:f>
              <c:strCache>
                <c:ptCount val="8"/>
                <c:pt idx="0">
                  <c:v>Сотрудник 1</c:v>
                </c:pt>
                <c:pt idx="1">
                  <c:v>Сотрудник 2</c:v>
                </c:pt>
                <c:pt idx="2">
                  <c:v>Сотрудник 3</c:v>
                </c:pt>
                <c:pt idx="3">
                  <c:v>Сотрудник 4</c:v>
                </c:pt>
                <c:pt idx="4">
                  <c:v>Сотрудник 5</c:v>
                </c:pt>
                <c:pt idx="5">
                  <c:v>Сотрудник 6</c:v>
                </c:pt>
                <c:pt idx="6">
                  <c:v>Сотрудник 7</c:v>
                </c:pt>
                <c:pt idx="7">
                  <c:v>Сотрудник 8</c:v>
                </c:pt>
              </c:strCache>
            </c:strRef>
          </c:cat>
          <c:val>
            <c:numRef>
              <c:f>'График отпусков 2016 год'!$AD$9:$AD$16</c:f>
              <c:numCache>
                <c:formatCode>General</c:formatCode>
                <c:ptCount val="8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7"/>
        <c:overlap val="100"/>
        <c:axId val="122034688"/>
        <c:axId val="149716288"/>
      </c:barChart>
      <c:catAx>
        <c:axId val="122034688"/>
        <c:scaling>
          <c:orientation val="maxMin"/>
        </c:scaling>
        <c:delete val="0"/>
        <c:axPos val="l"/>
        <c:majorGridlines>
          <c:spPr>
            <a:ln w="6350"/>
          </c:spPr>
        </c:majorGridlines>
        <c:numFmt formatCode="General" sourceLinked="1"/>
        <c:majorTickMark val="out"/>
        <c:minorTickMark val="none"/>
        <c:tickLblPos val="nextTo"/>
        <c:spPr>
          <a:ln w="12700"/>
        </c:spPr>
        <c:crossAx val="149716288"/>
        <c:crosses val="autoZero"/>
        <c:auto val="1"/>
        <c:lblAlgn val="ctr"/>
        <c:lblOffset val="100"/>
        <c:noMultiLvlLbl val="0"/>
      </c:catAx>
      <c:valAx>
        <c:axId val="149716288"/>
        <c:scaling>
          <c:orientation val="minMax"/>
          <c:min val="1"/>
        </c:scaling>
        <c:delete val="0"/>
        <c:axPos val="t"/>
        <c:majorGridlines/>
        <c:minorGridlines/>
        <c:numFmt formatCode="[$-419]mmmm;@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22034688"/>
        <c:crosses val="autoZero"/>
        <c:crossBetween val="between"/>
        <c:majorUnit val="31"/>
      </c:valAx>
    </c:plotArea>
    <c:plotVisOnly val="1"/>
    <c:dispBlanksAs val="gap"/>
    <c:showDLblsOverMax val="0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://vexcele.ru/" TargetMode="Externa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29735</xdr:colOff>
      <xdr:row>20</xdr:row>
      <xdr:rowOff>55615</xdr:rowOff>
    </xdr:from>
    <xdr:to>
      <xdr:col>22</xdr:col>
      <xdr:colOff>21166</xdr:colOff>
      <xdr:row>36</xdr:row>
      <xdr:rowOff>4815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92076</xdr:colOff>
      <xdr:row>0</xdr:row>
      <xdr:rowOff>31751</xdr:rowOff>
    </xdr:from>
    <xdr:to>
      <xdr:col>6</xdr:col>
      <xdr:colOff>381000</xdr:colOff>
      <xdr:row>0</xdr:row>
      <xdr:rowOff>359834</xdr:rowOff>
    </xdr:to>
    <xdr:sp macro="" textlink="">
      <xdr:nvSpPr>
        <xdr:cNvPr id="6" name="Пятиугольник 5">
          <a:hlinkClick xmlns:r="http://schemas.openxmlformats.org/officeDocument/2006/relationships" r:id="rId2" tooltip="http://vExcele.ru"/>
        </xdr:cNvPr>
        <xdr:cNvSpPr/>
      </xdr:nvSpPr>
      <xdr:spPr>
        <a:xfrm>
          <a:off x="3923243" y="31751"/>
          <a:ext cx="2257424" cy="328083"/>
        </a:xfrm>
        <a:prstGeom prst="homePlate">
          <a:avLst/>
        </a:prstGeom>
        <a:solidFill>
          <a:srgbClr val="00B0F0"/>
        </a:solidFill>
        <a:ln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200" b="1" baseline="0"/>
            <a:t>на сайт автора: </a:t>
          </a:r>
          <a:r>
            <a:rPr lang="en-US" sz="1200" b="1" baseline="0"/>
            <a:t>vExcele.ru</a:t>
          </a:r>
          <a:endParaRPr lang="ru-RU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342900</xdr:rowOff>
        </xdr:from>
        <xdr:to>
          <xdr:col>1</xdr:col>
          <xdr:colOff>828675</xdr:colOff>
          <xdr:row>0</xdr:row>
          <xdr:rowOff>895350</xdr:rowOff>
        </xdr:to>
        <xdr:sp macro="" textlink="">
          <xdr:nvSpPr>
            <xdr:cNvPr id="1025" name="ReCoun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285750</xdr:colOff>
      <xdr:row>3</xdr:row>
      <xdr:rowOff>66675</xdr:rowOff>
    </xdr:from>
    <xdr:to>
      <xdr:col>10</xdr:col>
      <xdr:colOff>76200</xdr:colOff>
      <xdr:row>7</xdr:row>
      <xdr:rowOff>28575</xdr:rowOff>
    </xdr:to>
    <xdr:sp macro="" textlink="">
      <xdr:nvSpPr>
        <xdr:cNvPr id="2" name="Выноска со стрелкой влево 1"/>
        <xdr:cNvSpPr/>
      </xdr:nvSpPr>
      <xdr:spPr>
        <a:xfrm>
          <a:off x="2209800" y="714375"/>
          <a:ext cx="4057650" cy="609600"/>
        </a:xfrm>
        <a:prstGeom prst="leftArrowCallout">
          <a:avLst>
            <a:gd name="adj1" fmla="val 25000"/>
            <a:gd name="adj2" fmla="val 25000"/>
            <a:gd name="adj3" fmla="val 25000"/>
            <a:gd name="adj4" fmla="val 90821"/>
          </a:avLst>
        </a:prstGeom>
        <a:solidFill>
          <a:schemeClr val="tx2">
            <a:lumMod val="40000"/>
            <a:lumOff val="60000"/>
          </a:schemeClr>
        </a:solidFill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 b="1">
              <a:solidFill>
                <a:schemeClr val="bg1"/>
              </a:solidFill>
            </a:rPr>
            <a:t>Даты</a:t>
          </a:r>
          <a:r>
            <a:rPr lang="ru-RU" sz="1100" b="1" baseline="0">
              <a:solidFill>
                <a:schemeClr val="bg1"/>
              </a:solidFill>
            </a:rPr>
            <a:t> в соответствии с годовым производственым календарем.  Возможно изменение в любое время. </a:t>
          </a:r>
        </a:p>
        <a:p>
          <a:pPr algn="ctr"/>
          <a:r>
            <a:rPr lang="ru-RU" sz="1100" b="1" u="sng" baseline="0">
              <a:solidFill>
                <a:schemeClr val="bg1"/>
              </a:solidFill>
            </a:rPr>
            <a:t>НЕ ОСТАВЛЯТЬ</a:t>
          </a:r>
          <a:r>
            <a:rPr lang="ru-RU" sz="1100" b="1" baseline="0">
              <a:solidFill>
                <a:schemeClr val="bg1"/>
              </a:solidFill>
            </a:rPr>
            <a:t> </a:t>
          </a:r>
          <a:r>
            <a:rPr lang="ru-RU" sz="1100" b="1" u="sng" baseline="0">
              <a:solidFill>
                <a:schemeClr val="bg1"/>
              </a:solidFill>
            </a:rPr>
            <a:t>ПРОБЕЛОВ</a:t>
          </a:r>
          <a:r>
            <a:rPr lang="ru-RU" sz="1100" b="1" baseline="0">
              <a:solidFill>
                <a:schemeClr val="bg1"/>
              </a:solidFill>
            </a:rPr>
            <a:t> между датами!</a:t>
          </a:r>
          <a:endParaRPr lang="ru-RU" sz="1100" b="1">
            <a:solidFill>
              <a:schemeClr val="bg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Таблица1" displayName="Таблица1" ref="A8:V17" totalsRowShown="0" tableBorderDxfId="22">
  <autoFilter ref="A8:V17"/>
  <tableColumns count="22">
    <tableColumn id="1" name="Сотрудник" dataDxfId="21"/>
    <tableColumn id="2" name="Должность" dataDxfId="20"/>
    <tableColumn id="3" name="Начало года" dataDxfId="19">
      <calculatedColumnFormula>$C$1</calculatedColumnFormula>
    </tableColumn>
    <tableColumn id="4" name="Столбец1" dataDxfId="18">
      <calculatedColumnFormula>IF(MONTH(E9)&gt;2,E9-C9+2,E9-C9+1)</calculatedColumnFormula>
    </tableColumn>
    <tableColumn id="5" name="Дата начала1" dataDxfId="17"/>
    <tableColumn id="6" name="Продолжи- тельность1, дней" dataDxfId="16"/>
    <tableColumn id="7" name="Дата конца1" dataDxfId="15">
      <calculatedColumnFormula>E9+F9-1</calculatedColumnFormula>
    </tableColumn>
    <tableColumn id="8" name="Столбец2" dataDxfId="14">
      <calculatedColumnFormula>IF(AND(I9-$C9&gt;0,Таблица1[[#This Row],[Продолжи- тельность1, дней]]&gt;0),I9-$C9-D9-(Таблица1[[#This Row],[Дата конца1]]-Таблица1[[#This Row],[Дата начала1]]),"")</calculatedColumnFormula>
    </tableColumn>
    <tableColumn id="9" name="Дата начала2" dataDxfId="13"/>
    <tableColumn id="10" name="Продолжи- тельность2, дней" dataDxfId="12"/>
    <tableColumn id="11" name="Дата конца2" dataDxfId="11">
      <calculatedColumnFormula>I9+J9-1</calculatedColumnFormula>
    </tableColumn>
    <tableColumn id="12" name="Столбец6" dataDxfId="10">
      <calculatedColumnFormula>IF(AND(M9-$C9&gt;0,Таблица1[[#This Row],[Продолжи- тельность1, дней]]&gt;0,Таблица1[[#This Row],[Продолжи- тельность2, дней]]&gt;0),M9-$C9-$D9-(Таблица1[[#This Row],[Дата конца1]]-Таблица1[[#This Row],[Дата начала1]])-$H9-(Таблица1[[#This Row],[Дата конца2]]-Таблица1[[#This Row],[Дата начала2]])-1,"")</calculatedColumnFormula>
    </tableColumn>
    <tableColumn id="13" name="Дата начала3" dataDxfId="9"/>
    <tableColumn id="14" name="Продолжи- тельность3, дней" dataDxfId="8"/>
    <tableColumn id="15" name="Дата конца3" dataDxfId="7">
      <calculatedColumnFormula>M9+N9-1</calculatedColumnFormula>
    </tableColumn>
    <tableColumn id="16" name="Столбец10" dataDxfId="6">
      <calculatedColumnFormula>IF(AND(Q9-$C9&gt;0,Таблица1[[#This Row],[Продолжи- тельность1, дней]]&gt;0,Таблица1[[#This Row],[Продолжи- тельность2, дней]]&gt;0,Таблица1[[#This Row],[Продолжи- тельность3, дней]]&gt;0),Q9-$C9-$D9-(Таблица1[[#This Row],[Дата конца1]]-Таблица1[[#This Row],[Дата начала1]])-$H9-(Таблица1[[#This Row],[Дата конца2]]-Таблица1[[#This Row],[Дата начала2]])-L9-(Таблица1[[#This Row],[Дата конца3]]-Таблица1[[#This Row],[Дата начала3]])-2,"")</calculatedColumnFormula>
    </tableColumn>
    <tableColumn id="17" name="Дата начала4" dataDxfId="5"/>
    <tableColumn id="18" name="Продолжи- тельность4, дней" dataDxfId="4"/>
    <tableColumn id="19" name="Дата конца4" dataDxfId="3">
      <calculatedColumnFormula>Q9+R9-1</calculatedColumnFormula>
    </tableColumn>
    <tableColumn id="20" name="Положе- но за год" dataDxfId="2"/>
    <tableColumn id="21" name="Израсхо- довано" dataDxfId="1">
      <calculatedColumnFormula>F9+J9+N9+R9</calculatedColumnFormula>
    </tableColumn>
    <tableColumn id="22" name="Оста- лось" dataDxfId="0">
      <calculatedColumnFormula>T9-U9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pageSetUpPr fitToPage="1"/>
  </sheetPr>
  <dimension ref="A1:AN32"/>
  <sheetViews>
    <sheetView showGridLines="0" tabSelected="1" zoomScale="85" zoomScaleNormal="85" workbookViewId="0">
      <pane ySplit="1" topLeftCell="A2" activePane="bottomLeft" state="frozen"/>
      <selection pane="bottomLeft" activeCell="G1" sqref="G1"/>
    </sheetView>
  </sheetViews>
  <sheetFormatPr defaultRowHeight="12.75" outlineLevelCol="3" x14ac:dyDescent="0.2"/>
  <cols>
    <col min="1" max="1" width="25.7109375" customWidth="1"/>
    <col min="2" max="2" width="19.140625" style="10" customWidth="1"/>
    <col min="3" max="3" width="12" customWidth="1" outlineLevel="1"/>
    <col min="4" max="4" width="0.85546875" customWidth="1"/>
    <col min="5" max="5" width="14.85546875" customWidth="1"/>
    <col min="6" max="6" width="14.5703125" customWidth="1"/>
    <col min="7" max="7" width="13.7109375" customWidth="1"/>
    <col min="8" max="8" width="0.85546875" customWidth="1" outlineLevel="1"/>
    <col min="9" max="9" width="14.85546875" customWidth="1" outlineLevel="1"/>
    <col min="10" max="10" width="13.140625" customWidth="1" outlineLevel="1"/>
    <col min="11" max="11" width="14.140625" customWidth="1" outlineLevel="1"/>
    <col min="12" max="12" width="0.85546875" customWidth="1" outlineLevel="2"/>
    <col min="13" max="13" width="14.28515625" customWidth="1" outlineLevel="2"/>
    <col min="14" max="14" width="14.42578125" customWidth="1" outlineLevel="2"/>
    <col min="15" max="15" width="13" customWidth="1" outlineLevel="2"/>
    <col min="16" max="16" width="0.7109375" customWidth="1" outlineLevel="3"/>
    <col min="17" max="17" width="15.5703125" customWidth="1" outlineLevel="3"/>
    <col min="18" max="18" width="13" customWidth="1" outlineLevel="3"/>
    <col min="19" max="19" width="13.140625" customWidth="1" outlineLevel="3"/>
    <col min="20" max="20" width="10.42578125" customWidth="1"/>
    <col min="21" max="21" width="11.7109375" customWidth="1"/>
    <col min="22" max="22" width="10" customWidth="1"/>
    <col min="27" max="30" width="10.7109375" customWidth="1"/>
    <col min="38" max="40" width="8.42578125" customWidth="1"/>
    <col min="41" max="41" width="7.42578125" customWidth="1"/>
  </cols>
  <sheetData>
    <row r="1" spans="1:30" ht="76.5" customHeight="1" x14ac:dyDescent="0.2">
      <c r="A1" s="76" t="s">
        <v>47</v>
      </c>
      <c r="C1" s="62">
        <v>42370</v>
      </c>
      <c r="E1" s="29" t="s">
        <v>24</v>
      </c>
    </row>
    <row r="2" spans="1:30" ht="9.75" customHeight="1" x14ac:dyDescent="0.2"/>
    <row r="3" spans="1:30" s="8" customFormat="1" ht="15" x14ac:dyDescent="0.25">
      <c r="A3" s="7" t="s">
        <v>45</v>
      </c>
      <c r="B3" s="11"/>
    </row>
    <row r="4" spans="1:30" s="8" customFormat="1" ht="14.25" x14ac:dyDescent="0.2">
      <c r="A4" s="9" t="s">
        <v>42</v>
      </c>
      <c r="B4" s="12"/>
    </row>
    <row r="5" spans="1:30" s="8" customFormat="1" ht="14.25" x14ac:dyDescent="0.2">
      <c r="A5" s="9" t="s">
        <v>46</v>
      </c>
      <c r="B5" s="12"/>
    </row>
    <row r="6" spans="1:30" ht="10.5" customHeight="1" x14ac:dyDescent="0.25">
      <c r="A6" s="1"/>
      <c r="B6" s="13"/>
      <c r="C6" s="1"/>
      <c r="D6" s="1"/>
    </row>
    <row r="7" spans="1:30" s="65" customFormat="1" ht="21.75" customHeight="1" x14ac:dyDescent="0.2">
      <c r="A7" s="64"/>
      <c r="B7" s="36"/>
      <c r="C7" s="64"/>
      <c r="D7" s="74" t="s">
        <v>2</v>
      </c>
      <c r="E7" s="74"/>
      <c r="F7" s="74"/>
      <c r="G7" s="74"/>
      <c r="H7" s="74" t="s">
        <v>3</v>
      </c>
      <c r="I7" s="74"/>
      <c r="J7" s="74"/>
      <c r="K7" s="74"/>
      <c r="L7" s="74" t="s">
        <v>4</v>
      </c>
      <c r="M7" s="74"/>
      <c r="N7" s="74"/>
      <c r="O7" s="74"/>
      <c r="P7" s="74" t="s">
        <v>5</v>
      </c>
      <c r="Q7" s="74"/>
      <c r="R7" s="74"/>
      <c r="S7" s="75"/>
      <c r="T7" s="72" t="s">
        <v>7</v>
      </c>
      <c r="U7" s="72"/>
      <c r="V7" s="73"/>
      <c r="AA7" s="71" t="s">
        <v>41</v>
      </c>
      <c r="AB7" s="71"/>
      <c r="AC7" s="71"/>
      <c r="AD7" s="71"/>
    </row>
    <row r="8" spans="1:30" s="5" customFormat="1" ht="48.75" customHeight="1" x14ac:dyDescent="0.2">
      <c r="A8" s="39" t="s">
        <v>0</v>
      </c>
      <c r="B8" s="37" t="s">
        <v>6</v>
      </c>
      <c r="C8" s="38" t="s">
        <v>1</v>
      </c>
      <c r="D8" s="47" t="s">
        <v>12</v>
      </c>
      <c r="E8" s="4" t="s">
        <v>17</v>
      </c>
      <c r="F8" s="4" t="s">
        <v>18</v>
      </c>
      <c r="G8" s="4" t="s">
        <v>33</v>
      </c>
      <c r="H8" s="47" t="s">
        <v>13</v>
      </c>
      <c r="I8" s="4" t="s">
        <v>19</v>
      </c>
      <c r="J8" s="4" t="s">
        <v>20</v>
      </c>
      <c r="K8" s="4" t="s">
        <v>34</v>
      </c>
      <c r="L8" s="47" t="s">
        <v>15</v>
      </c>
      <c r="M8" s="4" t="s">
        <v>14</v>
      </c>
      <c r="N8" s="4" t="s">
        <v>21</v>
      </c>
      <c r="O8" s="4" t="s">
        <v>35</v>
      </c>
      <c r="P8" s="47" t="s">
        <v>16</v>
      </c>
      <c r="Q8" s="4" t="s">
        <v>22</v>
      </c>
      <c r="R8" s="4" t="s">
        <v>23</v>
      </c>
      <c r="S8" s="4" t="s">
        <v>36</v>
      </c>
      <c r="T8" s="48" t="s">
        <v>8</v>
      </c>
      <c r="U8" s="49" t="s">
        <v>9</v>
      </c>
      <c r="V8" s="50" t="s">
        <v>10</v>
      </c>
      <c r="AA8" s="66" t="s">
        <v>37</v>
      </c>
      <c r="AB8" s="66" t="s">
        <v>38</v>
      </c>
      <c r="AC8" s="66" t="s">
        <v>39</v>
      </c>
      <c r="AD8" s="66" t="s">
        <v>40</v>
      </c>
    </row>
    <row r="9" spans="1:30" ht="14.25" customHeight="1" x14ac:dyDescent="0.2">
      <c r="A9" s="40" t="s">
        <v>25</v>
      </c>
      <c r="B9" s="32"/>
      <c r="C9" s="6">
        <f>$C$1</f>
        <v>42370</v>
      </c>
      <c r="D9" s="2">
        <f>IF(MONTH(E9)&gt;2,E9-C9+2,E9-C9+1)</f>
        <v>2</v>
      </c>
      <c r="E9" s="57">
        <v>42371</v>
      </c>
      <c r="F9" s="58">
        <v>10</v>
      </c>
      <c r="G9" s="59">
        <v>42387</v>
      </c>
      <c r="H9" s="60">
        <f>IF(AND(I9-$C9&gt;0,Таблица1[[#This Row],[Продолжи- тельность1, дней]]&gt;0),I9-$C9-D9-(Таблица1[[#This Row],[Дата конца1]]-Таблица1[[#This Row],[Дата начала1]]),"")</f>
        <v>31</v>
      </c>
      <c r="I9" s="30">
        <v>42419</v>
      </c>
      <c r="J9" s="31">
        <v>10</v>
      </c>
      <c r="K9" s="26">
        <v>42429</v>
      </c>
      <c r="L9" s="60">
        <f>IF(AND(M9-$C9&gt;0,Таблица1[[#This Row],[Продолжи- тельность1, дней]]&gt;0,Таблица1[[#This Row],[Продолжи- тельность2, дней]]&gt;0),M9-$C9-$D9-(Таблица1[[#This Row],[Дата конца1]]-Таблица1[[#This Row],[Дата начала1]])-$H9-(Таблица1[[#This Row],[Дата конца2]]-Таблица1[[#This Row],[Дата начала2]])-1,"")</f>
        <v>61</v>
      </c>
      <c r="M9" s="30">
        <v>42491</v>
      </c>
      <c r="N9" s="31">
        <v>5</v>
      </c>
      <c r="O9" s="26">
        <v>42496</v>
      </c>
      <c r="P9" s="60">
        <f>IF(AND(Q9-$C9&gt;0,Таблица1[[#This Row],[Продолжи- тельность1, дней]]&gt;0,Таблица1[[#This Row],[Продолжи- тельность2, дней]]&gt;0,Таблица1[[#This Row],[Продолжи- тельность3, дней]]&gt;0),Q9-$C9-$D9-(Таблица1[[#This Row],[Дата конца1]]-Таблица1[[#This Row],[Дата начала1]])-$H9-(Таблица1[[#This Row],[Дата конца2]]-Таблица1[[#This Row],[Дата начала2]])-L9-(Таблица1[[#This Row],[Дата конца3]]-Таблица1[[#This Row],[Дата начала3]])-2,"")</f>
        <v>183</v>
      </c>
      <c r="Q9" s="30">
        <v>42680</v>
      </c>
      <c r="R9" s="31">
        <v>5</v>
      </c>
      <c r="S9" s="28">
        <f>Q9+R9-1</f>
        <v>42684</v>
      </c>
      <c r="T9" s="51">
        <v>28</v>
      </c>
      <c r="U9" s="52">
        <f>F9+J9+N9+R9</f>
        <v>30</v>
      </c>
      <c r="V9" s="53">
        <f>T9-U9</f>
        <v>-2</v>
      </c>
      <c r="AA9" s="67">
        <f>IF(Таблица1[[#This Row],[Дата конца1]]-Таблица1[[#This Row],[Дата начала1]]&gt;0,Таблица1[[#This Row],[Дата конца1]]-Таблица1[[#This Row],[Дата начала1]]+1,"")</f>
        <v>17</v>
      </c>
      <c r="AB9" s="67">
        <f>IF(Таблица1[[#This Row],[Дата конца2]]-Таблица1[[#This Row],[Дата начала2]]&gt;0,Таблица1[[#This Row],[Дата конца2]]-Таблица1[[#This Row],[Дата начала2]]+1,"")</f>
        <v>11</v>
      </c>
      <c r="AC9" s="67">
        <f>IF(Таблица1[[#This Row],[Дата конца3]]-Таблица1[[#This Row],[Дата начала3]]&gt;0,Таблица1[[#This Row],[Дата конца3]]-Таблица1[[#This Row],[Дата начала3]]+1,"")</f>
        <v>6</v>
      </c>
      <c r="AD9" s="67">
        <f>IF(Таблица1[[#This Row],[Дата конца4]]-Таблица1[[#This Row],[Дата начала4]]&gt;0,Таблица1[[#This Row],[Дата конца4]]-Таблица1[[#This Row],[Дата начала4]]+1,"")</f>
        <v>5</v>
      </c>
    </row>
    <row r="10" spans="1:30" x14ac:dyDescent="0.2">
      <c r="A10" s="40" t="s">
        <v>26</v>
      </c>
      <c r="B10" s="32"/>
      <c r="C10" s="6">
        <f t="shared" ref="C10:C16" si="0">$C$1</f>
        <v>42370</v>
      </c>
      <c r="D10" s="2">
        <f t="shared" ref="D10:D16" si="1">IF(MONTH(E10)&gt;2,E10-C10+2,E10-C10+1)</f>
        <v>-42369</v>
      </c>
      <c r="E10" s="57"/>
      <c r="F10" s="58"/>
      <c r="G10" s="59"/>
      <c r="H10" s="60" t="str">
        <f>IF(AND(I10-$C10&gt;0,Таблица1[[#This Row],[Продолжи- тельность1, дней]]&gt;0),I10-$C10-D10-(Таблица1[[#This Row],[Дата конца1]]-Таблица1[[#This Row],[Дата начала1]]),"")</f>
        <v/>
      </c>
      <c r="I10" s="57"/>
      <c r="J10" s="31"/>
      <c r="K10" s="26"/>
      <c r="L10" s="60" t="str">
        <f>IF(AND(M10-$C10&gt;0,Таблица1[[#This Row],[Продолжи- тельность1, дней]]&gt;0,Таблица1[[#This Row],[Продолжи- тельность2, дней]]&gt;0),M10-$C10-$D10-(Таблица1[[#This Row],[Дата конца1]]-Таблица1[[#This Row],[Дата начала1]])-$H10-(Таблица1[[#This Row],[Дата конца2]]-Таблица1[[#This Row],[Дата начала2]])-1,"")</f>
        <v/>
      </c>
      <c r="M10" s="30"/>
      <c r="N10" s="31"/>
      <c r="O10" s="26"/>
      <c r="P10" s="60" t="str">
        <f>IF(AND(Q10-$C10&gt;0,Таблица1[[#This Row],[Продолжи- тельность1, дней]]&gt;0,Таблица1[[#This Row],[Продолжи- тельность2, дней]]&gt;0,Таблица1[[#This Row],[Продолжи- тельность3, дней]]&gt;0),Q10-$C10-$D10-(Таблица1[[#This Row],[Дата конца1]]-Таблица1[[#This Row],[Дата начала1]])-$H10-(Таблица1[[#This Row],[Дата конца2]]-Таблица1[[#This Row],[Дата начала2]])-L10-(Таблица1[[#This Row],[Дата конца3]]-Таблица1[[#This Row],[Дата начала3]])-2,"")</f>
        <v/>
      </c>
      <c r="Q10" s="30"/>
      <c r="R10" s="31"/>
      <c r="S10" s="28"/>
      <c r="T10" s="51">
        <v>28</v>
      </c>
      <c r="U10" s="52">
        <f t="shared" ref="U10:U16" si="2">F10+J10+N10+R10</f>
        <v>0</v>
      </c>
      <c r="V10" s="53">
        <f t="shared" ref="V10:V16" si="3">T10-U10</f>
        <v>28</v>
      </c>
      <c r="AA10" s="67" t="str">
        <f>IF(Таблица1[[#This Row],[Дата конца1]]-Таблица1[[#This Row],[Дата начала1]]&gt;0,Таблица1[[#This Row],[Дата конца1]]-Таблица1[[#This Row],[Дата начала1]]+1,"")</f>
        <v/>
      </c>
      <c r="AB10" s="67" t="str">
        <f>IF(Таблица1[[#This Row],[Дата конца2]]-Таблица1[[#This Row],[Дата начала2]]&gt;0,Таблица1[[#This Row],[Дата конца2]]-Таблица1[[#This Row],[Дата начала2]]+1,"")</f>
        <v/>
      </c>
      <c r="AC10" s="67" t="str">
        <f>IF(Таблица1[[#This Row],[Дата конца3]]-Таблица1[[#This Row],[Дата начала3]]&gt;0,Таблица1[[#This Row],[Дата конца3]]-Таблица1[[#This Row],[Дата начала3]]+1,"")</f>
        <v/>
      </c>
      <c r="AD10" s="67" t="str">
        <f>IF(Таблица1[[#This Row],[Дата конца4]]-Таблица1[[#This Row],[Дата начала4]]&gt;0,Таблица1[[#This Row],[Дата конца4]]-Таблица1[[#This Row],[Дата начала4]]+1,"")</f>
        <v/>
      </c>
    </row>
    <row r="11" spans="1:30" x14ac:dyDescent="0.2">
      <c r="A11" s="40" t="s">
        <v>27</v>
      </c>
      <c r="B11" s="32"/>
      <c r="C11" s="6">
        <f t="shared" si="0"/>
        <v>42370</v>
      </c>
      <c r="D11" s="2">
        <f t="shared" si="1"/>
        <v>-42369</v>
      </c>
      <c r="E11" s="57"/>
      <c r="F11" s="58"/>
      <c r="G11" s="59"/>
      <c r="H11" s="60" t="str">
        <f>IF(AND(I11-$C11&gt;0,Таблица1[[#This Row],[Продолжи- тельность1, дней]]&gt;0),I11-$C11-D11-(Таблица1[[#This Row],[Дата конца1]]-Таблица1[[#This Row],[Дата начала1]]),"")</f>
        <v/>
      </c>
      <c r="I11" s="30"/>
      <c r="J11" s="31"/>
      <c r="K11" s="26"/>
      <c r="L11" s="60" t="str">
        <f>IF(AND(M11-$C11&gt;0,Таблица1[[#This Row],[Продолжи- тельность1, дней]]&gt;0,Таблица1[[#This Row],[Продолжи- тельность2, дней]]&gt;0),M11-$C11-$D11-(Таблица1[[#This Row],[Дата конца1]]-Таблица1[[#This Row],[Дата начала1]])-$H11-(Таблица1[[#This Row],[Дата конца2]]-Таблица1[[#This Row],[Дата начала2]])-1,"")</f>
        <v/>
      </c>
      <c r="M11" s="30"/>
      <c r="N11" s="31"/>
      <c r="O11" s="26"/>
      <c r="P11" s="60" t="str">
        <f>IF(AND(Q11-$C11&gt;0,Таблица1[[#This Row],[Продолжи- тельность1, дней]]&gt;0,Таблица1[[#This Row],[Продолжи- тельность2, дней]]&gt;0,Таблица1[[#This Row],[Продолжи- тельность3, дней]]&gt;0),Q11-$C11-$D11-(Таблица1[[#This Row],[Дата конца1]]-Таблица1[[#This Row],[Дата начала1]])-$H11-(Таблица1[[#This Row],[Дата конца2]]-Таблица1[[#This Row],[Дата начала2]])-L11-(Таблица1[[#This Row],[Дата конца3]]-Таблица1[[#This Row],[Дата начала3]])-2,"")</f>
        <v/>
      </c>
      <c r="Q11" s="30"/>
      <c r="R11" s="31"/>
      <c r="S11" s="28"/>
      <c r="T11" s="51">
        <v>28</v>
      </c>
      <c r="U11" s="52">
        <f t="shared" si="2"/>
        <v>0</v>
      </c>
      <c r="V11" s="53">
        <f t="shared" si="3"/>
        <v>28</v>
      </c>
      <c r="AA11" s="67" t="str">
        <f>IF(Таблица1[[#This Row],[Дата конца1]]-Таблица1[[#This Row],[Дата начала1]]&gt;0,Таблица1[[#This Row],[Дата конца1]]-Таблица1[[#This Row],[Дата начала1]]+1,"")</f>
        <v/>
      </c>
      <c r="AB11" s="67" t="str">
        <f>IF(Таблица1[[#This Row],[Дата конца2]]-Таблица1[[#This Row],[Дата начала2]]&gt;0,Таблица1[[#This Row],[Дата конца2]]-Таблица1[[#This Row],[Дата начала2]]+1,"")</f>
        <v/>
      </c>
      <c r="AC11" s="67" t="str">
        <f>IF(Таблица1[[#This Row],[Дата конца3]]-Таблица1[[#This Row],[Дата начала3]]&gt;0,Таблица1[[#This Row],[Дата конца3]]-Таблица1[[#This Row],[Дата начала3]]+1,"")</f>
        <v/>
      </c>
      <c r="AD11" s="67" t="str">
        <f>IF(Таблица1[[#This Row],[Дата конца4]]-Таблица1[[#This Row],[Дата начала4]]&gt;0,Таблица1[[#This Row],[Дата конца4]]-Таблица1[[#This Row],[Дата начала4]]+1,"")</f>
        <v/>
      </c>
    </row>
    <row r="12" spans="1:30" x14ac:dyDescent="0.2">
      <c r="A12" s="40" t="s">
        <v>28</v>
      </c>
      <c r="B12" s="32"/>
      <c r="C12" s="6">
        <f t="shared" si="0"/>
        <v>42370</v>
      </c>
      <c r="D12" s="2">
        <f t="shared" si="1"/>
        <v>-42369</v>
      </c>
      <c r="E12" s="57"/>
      <c r="F12" s="58"/>
      <c r="G12" s="59"/>
      <c r="H12" s="60" t="str">
        <f>IF(AND(I12-$C12&gt;0,Таблица1[[#This Row],[Продолжи- тельность1, дней]]&gt;0),I12-$C12-D12-(Таблица1[[#This Row],[Дата конца1]]-Таблица1[[#This Row],[Дата начала1]]),"")</f>
        <v/>
      </c>
      <c r="I12" s="30"/>
      <c r="J12" s="31"/>
      <c r="K12" s="26"/>
      <c r="L12" s="60" t="str">
        <f>IF(AND(M12-$C12&gt;0,Таблица1[[#This Row],[Продолжи- тельность1, дней]]&gt;0,Таблица1[[#This Row],[Продолжи- тельность2, дней]]&gt;0),M12-$C12-$D12-(Таблица1[[#This Row],[Дата конца1]]-Таблица1[[#This Row],[Дата начала1]])-$H12-(Таблица1[[#This Row],[Дата конца2]]-Таблица1[[#This Row],[Дата начала2]])-1,"")</f>
        <v/>
      </c>
      <c r="M12" s="30"/>
      <c r="N12" s="31"/>
      <c r="O12" s="26"/>
      <c r="P12" s="60" t="str">
        <f>IF(AND(Q12-$C12&gt;0,Таблица1[[#This Row],[Продолжи- тельность1, дней]]&gt;0,Таблица1[[#This Row],[Продолжи- тельность2, дней]]&gt;0,Таблица1[[#This Row],[Продолжи- тельность3, дней]]&gt;0),Q12-$C12-$D12-(Таблица1[[#This Row],[Дата конца1]]-Таблица1[[#This Row],[Дата начала1]])-$H12-(Таблица1[[#This Row],[Дата конца2]]-Таблица1[[#This Row],[Дата начала2]])-L12-(Таблица1[[#This Row],[Дата конца3]]-Таблица1[[#This Row],[Дата начала3]])-2,"")</f>
        <v/>
      </c>
      <c r="Q12" s="30"/>
      <c r="R12" s="31"/>
      <c r="S12" s="28"/>
      <c r="T12" s="51">
        <v>28</v>
      </c>
      <c r="U12" s="52">
        <f t="shared" si="2"/>
        <v>0</v>
      </c>
      <c r="V12" s="53">
        <f t="shared" si="3"/>
        <v>28</v>
      </c>
      <c r="AA12" s="67" t="str">
        <f>IF(Таблица1[[#This Row],[Дата конца1]]-Таблица1[[#This Row],[Дата начала1]]&gt;0,Таблица1[[#This Row],[Дата конца1]]-Таблица1[[#This Row],[Дата начала1]]+1,"")</f>
        <v/>
      </c>
      <c r="AB12" s="67" t="str">
        <f>IF(Таблица1[[#This Row],[Дата конца2]]-Таблица1[[#This Row],[Дата начала2]]&gt;0,Таблица1[[#This Row],[Дата конца2]]-Таблица1[[#This Row],[Дата начала2]]+1,"")</f>
        <v/>
      </c>
      <c r="AC12" s="67" t="str">
        <f>IF(Таблица1[[#This Row],[Дата конца3]]-Таблица1[[#This Row],[Дата начала3]]&gt;0,Таблица1[[#This Row],[Дата конца3]]-Таблица1[[#This Row],[Дата начала3]]+1,"")</f>
        <v/>
      </c>
      <c r="AD12" s="67" t="str">
        <f>IF(Таблица1[[#This Row],[Дата конца4]]-Таблица1[[#This Row],[Дата начала4]]&gt;0,Таблица1[[#This Row],[Дата конца4]]-Таблица1[[#This Row],[Дата начала4]]+1,"")</f>
        <v/>
      </c>
    </row>
    <row r="13" spans="1:30" x14ac:dyDescent="0.2">
      <c r="A13" s="40" t="s">
        <v>29</v>
      </c>
      <c r="B13" s="32"/>
      <c r="C13" s="6">
        <f t="shared" si="0"/>
        <v>42370</v>
      </c>
      <c r="D13" s="2">
        <f t="shared" si="1"/>
        <v>-42369</v>
      </c>
      <c r="E13" s="57"/>
      <c r="F13" s="58"/>
      <c r="G13" s="59"/>
      <c r="H13" s="60" t="str">
        <f>IF(AND(I13-$C13&gt;0,Таблица1[[#This Row],[Продолжи- тельность1, дней]]&gt;0),I13-$C13-D13-(Таблица1[[#This Row],[Дата конца1]]-Таблица1[[#This Row],[Дата начала1]]),"")</f>
        <v/>
      </c>
      <c r="I13" s="30"/>
      <c r="J13" s="31"/>
      <c r="K13" s="26"/>
      <c r="L13" s="60" t="str">
        <f>IF(AND(M13-$C13&gt;0,Таблица1[[#This Row],[Продолжи- тельность1, дней]]&gt;0,Таблица1[[#This Row],[Продолжи- тельность2, дней]]&gt;0),M13-$C13-$D13-(Таблица1[[#This Row],[Дата конца1]]-Таблица1[[#This Row],[Дата начала1]])-$H13-(Таблица1[[#This Row],[Дата конца2]]-Таблица1[[#This Row],[Дата начала2]])-1,"")</f>
        <v/>
      </c>
      <c r="M13" s="30"/>
      <c r="N13" s="31"/>
      <c r="O13" s="26"/>
      <c r="P13" s="60" t="str">
        <f>IF(AND(Q13-$C13&gt;0,Таблица1[[#This Row],[Продолжи- тельность1, дней]]&gt;0,Таблица1[[#This Row],[Продолжи- тельность2, дней]]&gt;0,Таблица1[[#This Row],[Продолжи- тельность3, дней]]&gt;0),Q13-$C13-$D13-(Таблица1[[#This Row],[Дата конца1]]-Таблица1[[#This Row],[Дата начала1]])-$H13-(Таблица1[[#This Row],[Дата конца2]]-Таблица1[[#This Row],[Дата начала2]])-L13-(Таблица1[[#This Row],[Дата конца3]]-Таблица1[[#This Row],[Дата начала3]])-2,"")</f>
        <v/>
      </c>
      <c r="Q13" s="30"/>
      <c r="R13" s="31"/>
      <c r="S13" s="28"/>
      <c r="T13" s="51">
        <v>28</v>
      </c>
      <c r="U13" s="52">
        <f t="shared" si="2"/>
        <v>0</v>
      </c>
      <c r="V13" s="53">
        <f t="shared" si="3"/>
        <v>28</v>
      </c>
      <c r="AA13" s="67" t="str">
        <f>IF(Таблица1[[#This Row],[Дата конца1]]-Таблица1[[#This Row],[Дата начала1]]&gt;0,Таблица1[[#This Row],[Дата конца1]]-Таблица1[[#This Row],[Дата начала1]]+1,"")</f>
        <v/>
      </c>
      <c r="AB13" s="67" t="str">
        <f>IF(Таблица1[[#This Row],[Дата конца2]]-Таблица1[[#This Row],[Дата начала2]]&gt;0,Таблица1[[#This Row],[Дата конца2]]-Таблица1[[#This Row],[Дата начала2]]+1,"")</f>
        <v/>
      </c>
      <c r="AC13" s="67" t="str">
        <f>IF(Таблица1[[#This Row],[Дата конца3]]-Таблица1[[#This Row],[Дата начала3]]&gt;0,Таблица1[[#This Row],[Дата конца3]]-Таблица1[[#This Row],[Дата начала3]]+1,"")</f>
        <v/>
      </c>
      <c r="AD13" s="67" t="str">
        <f>IF(Таблица1[[#This Row],[Дата конца4]]-Таблица1[[#This Row],[Дата начала4]]&gt;0,Таблица1[[#This Row],[Дата конца4]]-Таблица1[[#This Row],[Дата начала4]]+1,"")</f>
        <v/>
      </c>
    </row>
    <row r="14" spans="1:30" x14ac:dyDescent="0.2">
      <c r="A14" s="40" t="s">
        <v>30</v>
      </c>
      <c r="B14" s="32"/>
      <c r="C14" s="6">
        <f t="shared" si="0"/>
        <v>42370</v>
      </c>
      <c r="D14" s="2">
        <f t="shared" si="1"/>
        <v>-42369</v>
      </c>
      <c r="E14" s="57"/>
      <c r="F14" s="58"/>
      <c r="G14" s="59"/>
      <c r="H14" s="60" t="str">
        <f>IF(AND(I14-$C14&gt;0,Таблица1[[#This Row],[Продолжи- тельность1, дней]]&gt;0),I14-$C14-D14-(Таблица1[[#This Row],[Дата конца1]]-Таблица1[[#This Row],[Дата начала1]]),"")</f>
        <v/>
      </c>
      <c r="I14" s="30"/>
      <c r="J14" s="31"/>
      <c r="K14" s="26"/>
      <c r="L14" s="60" t="str">
        <f>IF(AND(M14-$C14&gt;0,Таблица1[[#This Row],[Продолжи- тельность1, дней]]&gt;0,Таблица1[[#This Row],[Продолжи- тельность2, дней]]&gt;0),M14-$C14-$D14-(Таблица1[[#This Row],[Дата конца1]]-Таблица1[[#This Row],[Дата начала1]])-$H14-(Таблица1[[#This Row],[Дата конца2]]-Таблица1[[#This Row],[Дата начала2]])-1,"")</f>
        <v/>
      </c>
      <c r="M14" s="30"/>
      <c r="N14" s="31"/>
      <c r="O14" s="26"/>
      <c r="P14" s="60" t="str">
        <f>IF(AND(Q14-$C14&gt;0,Таблица1[[#This Row],[Продолжи- тельность1, дней]]&gt;0,Таблица1[[#This Row],[Продолжи- тельность2, дней]]&gt;0,Таблица1[[#This Row],[Продолжи- тельность3, дней]]&gt;0),Q14-$C14-$D14-(Таблица1[[#This Row],[Дата конца1]]-Таблица1[[#This Row],[Дата начала1]])-$H14-(Таблица1[[#This Row],[Дата конца2]]-Таблица1[[#This Row],[Дата начала2]])-L14-(Таблица1[[#This Row],[Дата конца3]]-Таблица1[[#This Row],[Дата начала3]])-2,"")</f>
        <v/>
      </c>
      <c r="Q14" s="30"/>
      <c r="R14" s="31"/>
      <c r="S14" s="28"/>
      <c r="T14" s="51">
        <v>28</v>
      </c>
      <c r="U14" s="52">
        <f>F14+J14+N14+R14</f>
        <v>0</v>
      </c>
      <c r="V14" s="53">
        <f t="shared" si="3"/>
        <v>28</v>
      </c>
      <c r="AA14" s="67" t="str">
        <f>IF(Таблица1[[#This Row],[Дата конца1]]-Таблица1[[#This Row],[Дата начала1]]&gt;0,Таблица1[[#This Row],[Дата конца1]]-Таблица1[[#This Row],[Дата начала1]]+1,"")</f>
        <v/>
      </c>
      <c r="AB14" s="67" t="str">
        <f>IF(Таблица1[[#This Row],[Дата конца2]]-Таблица1[[#This Row],[Дата начала2]]&gt;0,Таблица1[[#This Row],[Дата конца2]]-Таблица1[[#This Row],[Дата начала2]]+1,"")</f>
        <v/>
      </c>
      <c r="AC14" s="67" t="str">
        <f>IF(Таблица1[[#This Row],[Дата конца3]]-Таблица1[[#This Row],[Дата начала3]]&gt;0,Таблица1[[#This Row],[Дата конца3]]-Таблица1[[#This Row],[Дата начала3]]+1,"")</f>
        <v/>
      </c>
      <c r="AD14" s="67" t="str">
        <f>IF(Таблица1[[#This Row],[Дата конца4]]-Таблица1[[#This Row],[Дата начала4]]&gt;0,Таблица1[[#This Row],[Дата конца4]]-Таблица1[[#This Row],[Дата начала4]]+1,"")</f>
        <v/>
      </c>
    </row>
    <row r="15" spans="1:30" x14ac:dyDescent="0.2">
      <c r="A15" s="40" t="s">
        <v>31</v>
      </c>
      <c r="B15" s="32"/>
      <c r="C15" s="6">
        <f t="shared" si="0"/>
        <v>42370</v>
      </c>
      <c r="D15" s="2">
        <f t="shared" si="1"/>
        <v>-42369</v>
      </c>
      <c r="E15" s="30"/>
      <c r="F15" s="31"/>
      <c r="G15" s="59"/>
      <c r="H15" s="60" t="str">
        <f>IF(AND(I15-$C15&gt;0,Таблица1[[#This Row],[Продолжи- тельность1, дней]]&gt;0),I15-$C15-D15-(Таблица1[[#This Row],[Дата конца1]]-Таблица1[[#This Row],[Дата начала1]]),"")</f>
        <v/>
      </c>
      <c r="I15" s="30"/>
      <c r="J15" s="31"/>
      <c r="K15" s="26"/>
      <c r="L15" s="60" t="str">
        <f>IF(AND(M15-$C15&gt;0,Таблица1[[#This Row],[Продолжи- тельность1, дней]]&gt;0,Таблица1[[#This Row],[Продолжи- тельность2, дней]]&gt;0),M15-$C15-$D15-(Таблица1[[#This Row],[Дата конца1]]-Таблица1[[#This Row],[Дата начала1]])-$H15-(Таблица1[[#This Row],[Дата конца2]]-Таблица1[[#This Row],[Дата начала2]])-1,"")</f>
        <v/>
      </c>
      <c r="M15" s="30"/>
      <c r="N15" s="31"/>
      <c r="O15" s="26"/>
      <c r="P15" s="60" t="str">
        <f>IF(AND(Q15-$C15&gt;0,Таблица1[[#This Row],[Продолжи- тельность1, дней]]&gt;0,Таблица1[[#This Row],[Продолжи- тельность2, дней]]&gt;0,Таблица1[[#This Row],[Продолжи- тельность3, дней]]&gt;0),Q15-$C15-$D15-(Таблица1[[#This Row],[Дата конца1]]-Таблица1[[#This Row],[Дата начала1]])-$H15-(Таблица1[[#This Row],[Дата конца2]]-Таблица1[[#This Row],[Дата начала2]])-L15-(Таблица1[[#This Row],[Дата конца3]]-Таблица1[[#This Row],[Дата начала3]])-2,"")</f>
        <v/>
      </c>
      <c r="Q15" s="30"/>
      <c r="R15" s="31"/>
      <c r="S15" s="28"/>
      <c r="T15" s="51">
        <v>28</v>
      </c>
      <c r="U15" s="52">
        <f t="shared" si="2"/>
        <v>0</v>
      </c>
      <c r="V15" s="53">
        <f t="shared" si="3"/>
        <v>28</v>
      </c>
      <c r="AA15" s="67" t="str">
        <f>IF(Таблица1[[#This Row],[Дата конца1]]-Таблица1[[#This Row],[Дата начала1]]&gt;0,Таблица1[[#This Row],[Дата конца1]]-Таблица1[[#This Row],[Дата начала1]]+1,"")</f>
        <v/>
      </c>
      <c r="AB15" s="67" t="str">
        <f>IF(Таблица1[[#This Row],[Дата конца2]]-Таблица1[[#This Row],[Дата начала2]]&gt;0,Таблица1[[#This Row],[Дата конца2]]-Таблица1[[#This Row],[Дата начала2]]+1,"")</f>
        <v/>
      </c>
      <c r="AC15" s="67" t="str">
        <f>IF(Таблица1[[#This Row],[Дата конца3]]-Таблица1[[#This Row],[Дата начала3]]&gt;0,Таблица1[[#This Row],[Дата конца3]]-Таблица1[[#This Row],[Дата начала3]]+1,"")</f>
        <v/>
      </c>
      <c r="AD15" s="67" t="str">
        <f>IF(Таблица1[[#This Row],[Дата конца4]]-Таблица1[[#This Row],[Дата начала4]]&gt;0,Таблица1[[#This Row],[Дата конца4]]-Таблица1[[#This Row],[Дата начала4]]+1,"")</f>
        <v/>
      </c>
    </row>
    <row r="16" spans="1:30" x14ac:dyDescent="0.2">
      <c r="A16" s="40" t="s">
        <v>32</v>
      </c>
      <c r="B16" s="41"/>
      <c r="C16" s="42">
        <f t="shared" si="0"/>
        <v>42370</v>
      </c>
      <c r="D16" s="43">
        <f t="shared" si="1"/>
        <v>-42369</v>
      </c>
      <c r="E16" s="44"/>
      <c r="F16" s="45"/>
      <c r="G16" s="59"/>
      <c r="H16" s="60" t="str">
        <f>IF(AND(I16-$C16&gt;0,Таблица1[[#This Row],[Продолжи- тельность1, дней]]&gt;0),I16-$C16-D16-(Таблица1[[#This Row],[Дата конца1]]-Таблица1[[#This Row],[Дата начала1]]),"")</f>
        <v/>
      </c>
      <c r="I16" s="44"/>
      <c r="J16" s="45"/>
      <c r="K16" s="46"/>
      <c r="L16" s="61" t="str">
        <f>IF(AND(M16-$C16&gt;0,Таблица1[[#This Row],[Продолжи- тельность1, дней]]&gt;0,Таблица1[[#This Row],[Продолжи- тельность2, дней]]&gt;0),M16-$C16-$D16-(Таблица1[[#This Row],[Дата конца1]]-Таблица1[[#This Row],[Дата начала1]])-$H16-(Таблица1[[#This Row],[Дата конца2]]-Таблица1[[#This Row],[Дата начала2]])-1,"")</f>
        <v/>
      </c>
      <c r="M16" s="44"/>
      <c r="N16" s="45"/>
      <c r="O16" s="26"/>
      <c r="P16" s="61" t="str">
        <f>IF(AND(Q16-$C16&gt;0,Таблица1[[#This Row],[Продолжи- тельность1, дней]]&gt;0,Таблица1[[#This Row],[Продолжи- тельность2, дней]]&gt;0,Таблица1[[#This Row],[Продолжи- тельность3, дней]]&gt;0),Q16-$C16-$D16-(Таблица1[[#This Row],[Дата конца1]]-Таблица1[[#This Row],[Дата начала1]])-$H16-(Таблица1[[#This Row],[Дата конца2]]-Таблица1[[#This Row],[Дата начала2]])-L16-(Таблица1[[#This Row],[Дата конца3]]-Таблица1[[#This Row],[Дата начала3]])-2,"")</f>
        <v/>
      </c>
      <c r="Q16" s="44"/>
      <c r="R16" s="45"/>
      <c r="S16" s="28"/>
      <c r="T16" s="54">
        <v>28</v>
      </c>
      <c r="U16" s="55">
        <f t="shared" si="2"/>
        <v>0</v>
      </c>
      <c r="V16" s="56">
        <f t="shared" si="3"/>
        <v>28</v>
      </c>
      <c r="AA16" s="67" t="str">
        <f>IF(Таблица1[[#This Row],[Дата конца1]]-Таблица1[[#This Row],[Дата начала1]]&gt;0,Таблица1[[#This Row],[Дата конца1]]-Таблица1[[#This Row],[Дата начала1]]+1,"")</f>
        <v/>
      </c>
      <c r="AB16" s="67" t="str">
        <f>IF(Таблица1[[#This Row],[Дата конца2]]-Таблица1[[#This Row],[Дата начала2]]&gt;0,Таблица1[[#This Row],[Дата конца2]]-Таблица1[[#This Row],[Дата начала2]]+1,"")</f>
        <v/>
      </c>
      <c r="AC16" s="67" t="str">
        <f>IF(Таблица1[[#This Row],[Дата конца3]]-Таблица1[[#This Row],[Дата начала3]]&gt;0,Таблица1[[#This Row],[Дата конца3]]-Таблица1[[#This Row],[Дата начала3]]+1,"")</f>
        <v/>
      </c>
      <c r="AD16" s="67" t="str">
        <f>IF(Таблица1[[#This Row],[Дата конца4]]-Таблица1[[#This Row],[Дата начала4]]&gt;0,Таблица1[[#This Row],[Дата конца4]]-Таблица1[[#This Row],[Дата начала4]]+1,"")</f>
        <v/>
      </c>
    </row>
    <row r="17" spans="1:40" s="25" customFormat="1" hidden="1" x14ac:dyDescent="0.2">
      <c r="A17" s="40"/>
      <c r="B17" s="32"/>
      <c r="C17" s="6">
        <f>$C$1</f>
        <v>42370</v>
      </c>
      <c r="D17" s="63">
        <f>IF(MONTH(E17)&gt;2,E17-C17+2,E17-C17+1)</f>
        <v>-42369</v>
      </c>
      <c r="E17" s="30"/>
      <c r="F17" s="31"/>
      <c r="G17" s="59">
        <f t="shared" ref="G17" si="4">E17+F17-1</f>
        <v>-1</v>
      </c>
      <c r="H17" s="60" t="str">
        <f>IF(AND(I17-$C17&gt;0,Таблица1[[#This Row],[Продолжи- тельность1, дней]]&gt;0),I17-$C17-D17-(Таблица1[[#This Row],[Дата конца1]]-Таблица1[[#This Row],[Дата начала1]]),"")</f>
        <v/>
      </c>
      <c r="I17" s="30"/>
      <c r="J17" s="31"/>
      <c r="K17" s="26">
        <f t="shared" ref="K17" si="5">I17+J17-1</f>
        <v>-1</v>
      </c>
      <c r="L17" s="60" t="str">
        <f>IF(AND(M17-$C17&gt;0,Таблица1[[#This Row],[Продолжи- тельность1, дней]]&gt;0,Таблица1[[#This Row],[Продолжи- тельность2, дней]]&gt;0),M17-$C17-$D17-(Таблица1[[#This Row],[Дата конца1]]-Таблица1[[#This Row],[Дата начала1]])-$H17-(Таблица1[[#This Row],[Дата конца2]]-Таблица1[[#This Row],[Дата начала2]])-1,"")</f>
        <v/>
      </c>
      <c r="M17" s="30"/>
      <c r="N17" s="31"/>
      <c r="O17" s="26">
        <f t="shared" ref="O17" si="6">M17+N17-1</f>
        <v>-1</v>
      </c>
      <c r="P17" s="60" t="str">
        <f>IF(AND(Q17-$C17&gt;0,Таблица1[[#This Row],[Продолжи- тельность1, дней]]&gt;0,Таблица1[[#This Row],[Продолжи- тельность2, дней]]&gt;0,Таблица1[[#This Row],[Продолжи- тельность3, дней]]&gt;0),Q17-$C17-$D17-(Таблица1[[#This Row],[Дата конца1]]-Таблица1[[#This Row],[Дата начала1]])-$H17-(Таблица1[[#This Row],[Дата конца2]]-Таблица1[[#This Row],[Дата начала2]])-L17-(Таблица1[[#This Row],[Дата конца3]]-Таблица1[[#This Row],[Дата начала3]])-2,"")</f>
        <v/>
      </c>
      <c r="Q17" s="30"/>
      <c r="R17" s="31"/>
      <c r="S17" s="28">
        <f>Q17+R17-1</f>
        <v>-1</v>
      </c>
      <c r="T17" s="51"/>
      <c r="U17" s="52">
        <f>F17+J17+N17+R17</f>
        <v>0</v>
      </c>
      <c r="V17" s="53">
        <f>T17-U17</f>
        <v>0</v>
      </c>
      <c r="AA17" s="67" t="str">
        <f>IF(Таблица1[[#This Row],[Дата конца1]]-Таблица1[[#This Row],[Дата начала1]]&gt;0,Таблица1[[#This Row],[Дата конца1]]-Таблица1[[#This Row],[Дата начала1]]+1,"")</f>
        <v/>
      </c>
      <c r="AB17" s="67" t="str">
        <f>IF(Таблица1[[#This Row],[Дата конца2]]-Таблица1[[#This Row],[Дата начала2]]&gt;0,Таблица1[[#This Row],[Дата конца2]]-Таблица1[[#This Row],[Дата начала2]]+1,"")</f>
        <v/>
      </c>
      <c r="AC17" s="67" t="str">
        <f>IF(Таблица1[[#This Row],[Дата конца3]]-Таблица1[[#This Row],[Дата начала3]]&gt;0,Таблица1[[#This Row],[Дата конца3]]-Таблица1[[#This Row],[Дата начала3]]+1,"")</f>
        <v/>
      </c>
      <c r="AD17" s="67" t="str">
        <f>IF(Таблица1[[#This Row],[Дата конца4]]-Таблица1[[#This Row],[Дата начала4]]&gt;0,Таблица1[[#This Row],[Дата конца4]]-Таблица1[[#This Row],[Дата начала4]]+1,"")</f>
        <v/>
      </c>
      <c r="AN17">
        <f>IF(Таблица1[[#This Row],[Дата конца3]]-Таблица1[[#This Row],[Дата начала3]]&gt;0,Таблица1[[#This Row],[Дата конца3]]-Таблица1[[#This Row],[Дата начала3]],0)</f>
        <v>0</v>
      </c>
    </row>
    <row r="18" spans="1:40" s="25" customFormat="1" ht="6" customHeight="1" x14ac:dyDescent="0.2">
      <c r="A18" s="18"/>
      <c r="B18" s="18"/>
      <c r="C18" s="19"/>
      <c r="D18" s="20"/>
      <c r="E18" s="21"/>
      <c r="F18" s="22"/>
      <c r="G18" s="21"/>
      <c r="H18" s="22"/>
      <c r="I18" s="21"/>
      <c r="J18" s="22"/>
      <c r="K18" s="27"/>
      <c r="L18" s="22"/>
      <c r="M18" s="21"/>
      <c r="N18" s="22"/>
      <c r="O18" s="21"/>
      <c r="P18" s="22"/>
      <c r="Q18" s="21"/>
      <c r="R18" s="22"/>
      <c r="S18" s="21"/>
      <c r="T18" s="23"/>
      <c r="U18" s="24"/>
      <c r="V18" s="24"/>
      <c r="AA18" s="68"/>
      <c r="AB18" s="68"/>
      <c r="AC18" s="68"/>
      <c r="AD18" s="68"/>
    </row>
    <row r="19" spans="1:40" s="25" customFormat="1" ht="6" customHeight="1" x14ac:dyDescent="0.2">
      <c r="A19" s="18"/>
      <c r="B19" s="18"/>
      <c r="C19" s="19"/>
      <c r="D19" s="20"/>
      <c r="E19" s="21"/>
      <c r="F19" s="22"/>
      <c r="G19" s="21"/>
      <c r="H19" s="22"/>
      <c r="I19" s="21"/>
      <c r="J19" s="22"/>
      <c r="K19" s="27"/>
      <c r="L19" s="22"/>
      <c r="M19" s="21"/>
      <c r="N19" s="22"/>
      <c r="O19" s="21"/>
      <c r="P19" s="22"/>
      <c r="Q19" s="21"/>
      <c r="R19" s="22"/>
      <c r="S19" s="21"/>
      <c r="T19" s="23"/>
      <c r="U19" s="24"/>
      <c r="V19" s="24"/>
      <c r="AA19" s="69"/>
      <c r="AB19" s="69"/>
      <c r="AC19" s="69"/>
      <c r="AD19" s="69"/>
    </row>
    <row r="20" spans="1:40" s="35" customFormat="1" ht="24.75" customHeight="1" x14ac:dyDescent="0.2">
      <c r="A20" s="33" t="str">
        <f>"График отпусков на "&amp; YEAR(C1) &amp; " год"</f>
        <v>График отпусков на 2016 год</v>
      </c>
      <c r="B20" s="34"/>
      <c r="C20" s="70" t="s">
        <v>43</v>
      </c>
    </row>
    <row r="32" spans="1:40" x14ac:dyDescent="0.2">
      <c r="A32" s="3"/>
      <c r="B32" s="14"/>
      <c r="C32" s="3"/>
      <c r="D32" s="3"/>
    </row>
  </sheetData>
  <sheetProtection formatCells="0" formatRows="0" insertRows="0" deleteRows="0" autoFilter="0"/>
  <mergeCells count="6">
    <mergeCell ref="AA7:AD7"/>
    <mergeCell ref="T7:V7"/>
    <mergeCell ref="P7:S7"/>
    <mergeCell ref="D7:G7"/>
    <mergeCell ref="H7:K7"/>
    <mergeCell ref="L7:O7"/>
  </mergeCells>
  <conditionalFormatting sqref="E9:E17 I9:I17 M9:M17 Q9:Q17">
    <cfRule type="cellIs" dxfId="23" priority="4" operator="lessThan">
      <formula>$C$1</formula>
    </cfRule>
  </conditionalFormatting>
  <pageMargins left="0.25" right="0.25" top="0.75" bottom="0.75" header="0.3" footer="0.3"/>
  <pageSetup paperSize="9" scale="42" fitToHeight="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ReCount">
          <controlPr defaultSize="0" autoLine="0" r:id="rId5">
            <anchor moveWithCells="1">
              <from>
                <xdr:col>0</xdr:col>
                <xdr:colOff>66675</xdr:colOff>
                <xdr:row>0</xdr:row>
                <xdr:rowOff>342900</xdr:rowOff>
              </from>
              <to>
                <xdr:col>1</xdr:col>
                <xdr:colOff>828675</xdr:colOff>
                <xdr:row>0</xdr:row>
                <xdr:rowOff>895350</xdr:rowOff>
              </to>
            </anchor>
          </controlPr>
        </control>
      </mc:Choice>
      <mc:Fallback>
        <control shapeId="1025" r:id="rId4" name="ReCount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FFFF00"/>
  </sheetPr>
  <dimension ref="A1:C16"/>
  <sheetViews>
    <sheetView workbookViewId="0">
      <selection activeCell="C4" sqref="C4"/>
    </sheetView>
  </sheetViews>
  <sheetFormatPr defaultRowHeight="12.75" x14ac:dyDescent="0.2"/>
  <cols>
    <col min="1" max="1" width="0.5703125" customWidth="1"/>
    <col min="2" max="2" width="0.7109375" customWidth="1"/>
    <col min="3" max="3" width="12.42578125" customWidth="1"/>
  </cols>
  <sheetData>
    <row r="1" spans="1:3" ht="33" customHeight="1" x14ac:dyDescent="0.2">
      <c r="A1" s="15" t="s">
        <v>11</v>
      </c>
      <c r="B1" s="15"/>
      <c r="C1" s="15" t="s">
        <v>44</v>
      </c>
    </row>
    <row r="2" spans="1:3" x14ac:dyDescent="0.2">
      <c r="A2" s="15"/>
      <c r="B2" s="15"/>
      <c r="C2" s="15"/>
    </row>
    <row r="3" spans="1:3" x14ac:dyDescent="0.2">
      <c r="A3" s="16">
        <v>42005</v>
      </c>
      <c r="B3" s="16"/>
      <c r="C3" s="16">
        <v>42370</v>
      </c>
    </row>
    <row r="4" spans="1:3" x14ac:dyDescent="0.2">
      <c r="A4" s="16">
        <v>42006</v>
      </c>
      <c r="B4" s="16"/>
      <c r="C4" s="16">
        <v>42371</v>
      </c>
    </row>
    <row r="5" spans="1:3" x14ac:dyDescent="0.2">
      <c r="A5" s="16">
        <v>42007</v>
      </c>
      <c r="B5" s="16"/>
      <c r="C5" s="16">
        <v>42372</v>
      </c>
    </row>
    <row r="6" spans="1:3" x14ac:dyDescent="0.2">
      <c r="A6" s="16">
        <v>42008</v>
      </c>
      <c r="B6" s="16"/>
      <c r="C6" s="16">
        <v>42373</v>
      </c>
    </row>
    <row r="7" spans="1:3" x14ac:dyDescent="0.2">
      <c r="A7" s="16">
        <v>42009</v>
      </c>
      <c r="B7" s="16"/>
      <c r="C7" s="16">
        <v>42374</v>
      </c>
    </row>
    <row r="8" spans="1:3" x14ac:dyDescent="0.2">
      <c r="A8" s="16">
        <v>42010</v>
      </c>
      <c r="B8" s="16"/>
      <c r="C8" s="16">
        <v>42375</v>
      </c>
    </row>
    <row r="9" spans="1:3" x14ac:dyDescent="0.2">
      <c r="A9" s="16">
        <v>42011</v>
      </c>
      <c r="B9" s="16"/>
      <c r="C9" s="16">
        <v>42376</v>
      </c>
    </row>
    <row r="10" spans="1:3" x14ac:dyDescent="0.2">
      <c r="A10" s="16">
        <v>42012</v>
      </c>
      <c r="B10" s="16"/>
      <c r="C10" s="16">
        <v>42377</v>
      </c>
    </row>
    <row r="11" spans="1:3" x14ac:dyDescent="0.2">
      <c r="A11" s="17">
        <v>42058</v>
      </c>
      <c r="B11" s="17"/>
      <c r="C11" s="16">
        <v>42423</v>
      </c>
    </row>
    <row r="12" spans="1:3" x14ac:dyDescent="0.2">
      <c r="A12" s="17">
        <v>42071</v>
      </c>
      <c r="B12" s="17"/>
      <c r="C12" s="17">
        <v>42437</v>
      </c>
    </row>
    <row r="13" spans="1:3" x14ac:dyDescent="0.2">
      <c r="A13" s="16">
        <v>42125</v>
      </c>
      <c r="B13" s="16"/>
      <c r="C13" s="16">
        <v>42491</v>
      </c>
    </row>
    <row r="14" spans="1:3" x14ac:dyDescent="0.2">
      <c r="A14" s="16">
        <v>42133</v>
      </c>
      <c r="B14" s="16"/>
      <c r="C14" s="16">
        <v>42499</v>
      </c>
    </row>
    <row r="15" spans="1:3" x14ac:dyDescent="0.2">
      <c r="A15" s="16">
        <v>42167</v>
      </c>
      <c r="B15" s="16"/>
      <c r="C15" s="16">
        <v>42533</v>
      </c>
    </row>
    <row r="16" spans="1:3" x14ac:dyDescent="0.2">
      <c r="A16" s="16">
        <v>42312</v>
      </c>
      <c r="B16" s="16"/>
      <c r="C16" s="16">
        <v>42678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График отпусков 2016 год</vt:lpstr>
      <vt:lpstr>Праздники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Olga</dc:creator>
  <cp:lastModifiedBy>Olga R</cp:lastModifiedBy>
  <cp:lastPrinted>2015-11-20T21:10:08Z</cp:lastPrinted>
  <dcterms:created xsi:type="dcterms:W3CDTF">2014-08-08T19:00:37Z</dcterms:created>
  <dcterms:modified xsi:type="dcterms:W3CDTF">2017-08-03T11:36:58Z</dcterms:modified>
</cp:coreProperties>
</file>